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477" documentId="11_E60897F41BE170836B02CE998F75CCDC64E183C8" xr6:coauthVersionLast="47" xr6:coauthVersionMax="47" xr10:uidLastSave="{607E8441-E2AE-4C47-B508-29F726E4532C}"/>
  <bookViews>
    <workbookView xWindow="240" yWindow="105" windowWidth="14805" windowHeight="8010" firstSheet="1" activeTab="1"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75" i="2" l="1"/>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C5" i="3"/>
  <c r="C6" i="3"/>
  <c r="C7" i="3"/>
  <c r="C8" i="3"/>
  <c r="C9" i="3"/>
  <c r="C10" i="3"/>
  <c r="C11" i="3"/>
  <c r="C12" i="3"/>
  <c r="C13" i="3"/>
  <c r="C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D14" i="3" l="1"/>
  <c r="E14" i="3"/>
  <c r="D13" i="3"/>
  <c r="E13" i="3"/>
  <c r="D12" i="3"/>
  <c r="E12" i="3"/>
  <c r="D11" i="3"/>
  <c r="E11" i="3"/>
  <c r="D10" i="3"/>
  <c r="E10" i="3"/>
  <c r="D9" i="3"/>
  <c r="E9" i="3"/>
  <c r="D8" i="3"/>
  <c r="E8" i="3"/>
  <c r="D7" i="3"/>
  <c r="E7" i="3"/>
  <c r="D6" i="3"/>
  <c r="E6" i="3"/>
  <c r="D5" i="3"/>
  <c r="E5" i="3"/>
  <c r="E4" i="3"/>
  <c r="D4" i="3"/>
  <c r="F5" i="3" l="1"/>
  <c r="G5" i="3"/>
  <c r="F6" i="3"/>
  <c r="G6" i="3"/>
  <c r="F7" i="3"/>
  <c r="G7" i="3"/>
  <c r="F8" i="3"/>
  <c r="G8" i="3"/>
  <c r="F9" i="3"/>
  <c r="G9" i="3"/>
  <c r="F10" i="3"/>
  <c r="G10" i="3"/>
  <c r="F11" i="3"/>
  <c r="G11" i="3"/>
  <c r="F12" i="3"/>
  <c r="G12" i="3"/>
  <c r="F13" i="3"/>
  <c r="G13" i="3"/>
  <c r="F14" i="3"/>
  <c r="G14" i="3"/>
  <c r="F4" i="3"/>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<sst xmlns="http://schemas.openxmlformats.org/spreadsheetml/2006/main" count="147" uniqueCount="60">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</sst>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55" workbookViewId="0">
      <selection activeCell="F73" sqref="F73"/>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c r="B74" s="29"/>
      <c r="C74" s="20"/>
      <c r="D74" s="20"/>
      <c r="E74" s="20"/>
      <c r="F74" s="20"/>
      <c r="G74" s="20"/>
      <c r="H74" s="18" t="str">
        <f>IF(OR(A74="",E74="",F74="",G74=""),"",(G74-E74)*113/F74)</f>
        <v/>
      </c>
      <c r="I74" s="5"/>
      <c r="J74" s="5"/>
      <c r="K74" s="5"/>
      <c r="L74" s="5"/>
      <c r="M74" s="5"/>
      <c r="N74" s="5"/>
      <c r="O74" s="5"/>
      <c r="P74" s="5"/>
      <c r="Q74" s="5"/>
      <c r="R74" s="5"/>
      <c r="S74" s="5"/>
      <c r="T74" s="5"/>
      <c r="U74" s="5"/>
      <c r="V74" s="5"/>
      <c r="W74" s="5"/>
      <c r="X74" s="5"/>
      <c r="Y74" s="5"/>
      <c r="Z74" s="6"/>
    </row>
    <row r="75" spans="1:26">
      <c r="A75" s="19"/>
      <c r="B75" s="29"/>
      <c r="C75" s="20"/>
      <c r="D75" s="20"/>
      <c r="E75" s="20"/>
      <c r="F75" s="20"/>
      <c r="G75" s="20"/>
      <c r="H75" s="18" t="str">
        <f>IF(OR(A75="",E75="",F75="",G75=""),"",(G75-E75)*113/F75)</f>
        <v/>
      </c>
      <c r="I75" s="5"/>
      <c r="J75" s="5"/>
      <c r="K75" s="5"/>
      <c r="L75" s="5"/>
      <c r="M75" s="5"/>
      <c r="N75" s="5"/>
      <c r="O75" s="5"/>
      <c r="P75" s="5"/>
      <c r="Q75" s="5"/>
      <c r="R75" s="5"/>
      <c r="S75" s="5"/>
      <c r="T75" s="5"/>
      <c r="U75" s="5"/>
      <c r="V75" s="5"/>
      <c r="W75" s="5"/>
      <c r="X75" s="5"/>
      <c r="Y75" s="5"/>
      <c r="Z75" s="6"/>
    </row>
    <row r="76" spans="1:26">
      <c r="A76" s="19"/>
      <c r="B76" s="29"/>
      <c r="C76" s="20"/>
      <c r="D76" s="20"/>
      <c r="E76" s="20"/>
      <c r="F76" s="20"/>
      <c r="G76" s="20"/>
      <c r="H76" s="18" t="str">
        <f>IF(OR(A76="",E76="",F76="",G76=""),"",(G76-E76)*113/F76)</f>
        <v/>
      </c>
      <c r="I76" s="5"/>
      <c r="J76" s="5"/>
      <c r="K76" s="5"/>
      <c r="L76" s="5"/>
      <c r="M76" s="5"/>
      <c r="N76" s="5"/>
      <c r="O76" s="5"/>
      <c r="P76" s="5"/>
      <c r="Q76" s="5"/>
      <c r="R76" s="5"/>
      <c r="S76" s="5"/>
      <c r="T76" s="5"/>
      <c r="U76" s="5"/>
      <c r="V76" s="5"/>
      <c r="W76" s="5"/>
      <c r="X76" s="5"/>
      <c r="Y76" s="5"/>
      <c r="Z76" s="6"/>
    </row>
    <row r="77" spans="1:26">
      <c r="A77" s="19"/>
      <c r="B77" s="29"/>
      <c r="C77" s="20"/>
      <c r="D77" s="20"/>
      <c r="E77" s="20"/>
      <c r="F77" s="20"/>
      <c r="G77" s="20"/>
      <c r="H77" s="18" t="str">
        <f>IF(OR(A77="",E77="",F77="",G77=""),"",(G77-E77)*113/F77)</f>
        <v/>
      </c>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workbookViewId="0">
      <selection activeCell="B18" sqref="B18"/>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-0.5</v>
      </c>
      <c r="C4" s="26">
        <f>COUNTIF('Round Log'!$A$6:$A$65,A4)</f>
        <v>3</v>
      </c>
      <c r="D4" s="21">
        <f>IF(C4=0,"",AVERAGEIF('Round Log'!$A$6:$A$65,A4,'Round Log'!$H$6:$H$65))</f>
        <v>2.3183979328165361</v>
      </c>
      <c r="E4" s="21">
        <f>IF(C4=0,"",_xlfn.MINIFS('Round Log'!$H$6:$H$65,'Round Log'!$A$6:$A$65,A4))</f>
        <v>0</v>
      </c>
      <c r="F4" s="21">
        <f>IF(OR(D4="",B4=""),"",D4-B4)</f>
        <v>2.8183979328165361</v>
      </c>
      <c r="G4" s="21">
        <f>IF(B4="","",IF(D4="",B4,$G$1*B4+$I$1*D4))</f>
        <v>0.34551937984496084</v>
      </c>
      <c r="H4" s="21">
        <f>IF(G4="","",RANK(G4,$G$4:$G$19,1))</f>
        <v>1</v>
      </c>
      <c r="I4" s="5"/>
      <c r="J4" s="5"/>
      <c r="K4" s="5"/>
      <c r="L4" s="5"/>
      <c r="M4" s="5"/>
      <c r="N4" s="5"/>
      <c r="O4" s="5"/>
      <c r="P4" s="5"/>
      <c r="Q4" s="5"/>
      <c r="R4" s="5"/>
      <c r="S4" s="5"/>
      <c r="T4" s="5"/>
      <c r="U4" s="5"/>
      <c r="V4" s="5"/>
      <c r="W4" s="5"/>
      <c r="X4" s="5"/>
      <c r="Y4" s="5"/>
      <c r="Z4" s="6"/>
    </row>
    <row r="5" spans="1:26">
      <c r="A5" s="19" t="s">
        <v>30</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34</v>
      </c>
      <c r="B6" s="20">
        <v>12.4</v>
      </c>
      <c r="C6" s="26">
        <f>COUNTIF('Round Log'!$A$6:$A$65,A6)</f>
        <v>5</v>
      </c>
      <c r="D6" s="21">
        <f>IF(C6=0,"",AVERAGEIF('Round Log'!$A$6:$A$65,A6,'Round Log'!$H$6:$H$65))</f>
        <v>15.803616634068177</v>
      </c>
      <c r="E6" s="21">
        <f>IF(C6=0,"",_xlfn.MINIFS('Round Log'!$H$6:$H$65,'Round Log'!$A$6:$A$65,A6))</f>
        <v>12.143283582089557</v>
      </c>
      <c r="F6" s="21">
        <f t="shared" si="0"/>
        <v>3.403616634068177</v>
      </c>
      <c r="G6" s="21">
        <f t="shared" si="1"/>
        <v>13.421084990220454</v>
      </c>
      <c r="H6" s="21">
        <f t="shared" si="2"/>
        <v>7</v>
      </c>
      <c r="I6" s="5"/>
      <c r="J6" s="5"/>
      <c r="K6" s="5"/>
      <c r="L6" s="5"/>
      <c r="M6" s="5"/>
      <c r="N6" s="5"/>
      <c r="O6" s="5"/>
      <c r="P6" s="5"/>
      <c r="Q6" s="5"/>
      <c r="R6" s="5"/>
      <c r="S6" s="5"/>
      <c r="T6" s="5"/>
      <c r="U6" s="5"/>
      <c r="V6" s="5"/>
      <c r="W6" s="5"/>
      <c r="X6" s="5"/>
      <c r="Y6" s="5"/>
      <c r="Z6" s="6"/>
    </row>
    <row r="7" spans="1:26">
      <c r="A7" s="19" t="s">
        <v>36</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9</v>
      </c>
      <c r="I7" s="5"/>
      <c r="J7" s="5"/>
      <c r="K7" s="5"/>
      <c r="L7" s="5"/>
      <c r="M7" s="5"/>
      <c r="N7" s="5"/>
      <c r="O7" s="5"/>
      <c r="P7" s="5"/>
      <c r="Q7" s="5"/>
      <c r="R7" s="5"/>
      <c r="S7" s="5"/>
      <c r="T7" s="5"/>
      <c r="U7" s="5"/>
      <c r="V7" s="5"/>
      <c r="W7" s="5"/>
      <c r="X7" s="5"/>
      <c r="Y7" s="5"/>
      <c r="Z7" s="6"/>
    </row>
    <row r="8" spans="1:26">
      <c r="A8" s="19" t="s">
        <v>37</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31</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Log'!$A$6:$A$65,A11)</f>
        <v>4</v>
      </c>
      <c r="D11" s="21">
        <f>IF(C11=0,"",AVERAGEIF('Round Log'!$A$6:$A$65,A11,'Round Log'!$H$6:$H$65))</f>
        <v>23.89765616015584</v>
      </c>
      <c r="E11" s="21">
        <f>IF(C11=0,"",_xlfn.MINIFS('Round Log'!$H$6:$H$65,'Round Log'!$A$6:$A$65,A11))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39</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28</v>
      </c>
      <c r="B14" s="20">
        <v>11.8</v>
      </c>
      <c r="C14" s="26">
        <f>COUNTIF('Round Log'!$A$6:$A$65,A14)</f>
        <v>4</v>
      </c>
      <c r="D14" s="21">
        <f>IF(C14=0,"",AVERAGEIF('Round Log'!$A$6:$A$65,A14,'Round Log'!$H$6:$H$65))</f>
        <v>13.688908966648441</v>
      </c>
      <c r="E14" s="21">
        <f>IF(C14=0,"",_xlfn.MINIFS('Round Log'!$H$6:$H$65,'Round Log'!$A$6:$A$65,A14))</f>
        <v>8.9306451612903199</v>
      </c>
      <c r="F14" s="21">
        <f t="shared" si="0"/>
        <v>1.8889089666484402</v>
      </c>
      <c r="G14" s="21">
        <f t="shared" si="1"/>
        <v>12.366672689994532</v>
      </c>
      <c r="H14" s="21">
        <f t="shared" si="2"/>
        <v>6</v>
      </c>
      <c r="I14" s="5"/>
      <c r="J14" s="5"/>
      <c r="K14" s="5"/>
      <c r="L14" s="5"/>
      <c r="M14" s="5"/>
      <c r="N14" s="5"/>
      <c r="O14" s="5"/>
      <c r="P14" s="5"/>
      <c r="Q14" s="5"/>
      <c r="R14" s="5"/>
      <c r="S14" s="5"/>
      <c r="T14" s="5"/>
      <c r="U14" s="5"/>
      <c r="V14" s="5"/>
      <c r="W14" s="5"/>
      <c r="X14" s="5"/>
      <c r="Y14" s="5"/>
      <c r="Z14" s="6"/>
    </row>
    <row r="15" spans="1:26">
      <c r="A15" s="19" t="s">
        <v>40</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33</v>
      </c>
      <c r="B16" s="20">
        <v>9.9</v>
      </c>
      <c r="C16" s="26">
        <f>COUNTIF('Round Log'!$A$6:$A$65,A16)</f>
        <v>6</v>
      </c>
      <c r="D16" s="21">
        <f>IF(C16=0,"",AVERAGEIF('Round Log'!$A$6:$A$65,A16,'Round Log'!$H$6:$H$65))</f>
        <v>12.785676215006925</v>
      </c>
      <c r="E16" s="21">
        <f>IF(C16=0,"",_xlfn.MINIFS('Round Log'!$H$6:$H$65,'Round Log'!$A$6:$A$65,A16))</f>
        <v>3.8259842519685017</v>
      </c>
      <c r="F16" s="21">
        <f t="shared" si="0"/>
        <v>2.8856762150069244</v>
      </c>
      <c r="G16" s="21">
        <f t="shared" si="1"/>
        <v>10.765702864502078</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Log'!$A$6:$A$65,A17)</f>
        <v>3</v>
      </c>
      <c r="D17" s="21">
        <f>IF(C17=0,"",AVERAGEIF('Round Log'!$A$6:$A$65,A17,'Round Log'!$H$6:$H$65))</f>
        <v>19.430552979042563</v>
      </c>
      <c r="E17" s="21">
        <f>IF(C17=0,"",_xlfn.MINIFS('Round Log'!$H$6:$H$65,'Round Log'!$A$6:$A$65,A17))</f>
        <v>17.744531249999994</v>
      </c>
      <c r="F17" s="21">
        <f t="shared" si="0"/>
        <v>5.2305529790425638</v>
      </c>
      <c r="G17" s="21">
        <f t="shared" si="1"/>
        <v>15.769165893712767</v>
      </c>
      <c r="H17" s="21">
        <f t="shared" si="2"/>
        <v>10</v>
      </c>
      <c r="I17" s="5"/>
      <c r="J17" s="5"/>
      <c r="K17" s="5"/>
      <c r="L17" s="5"/>
      <c r="M17" s="5"/>
      <c r="N17" s="5"/>
      <c r="O17" s="5"/>
      <c r="P17" s="5"/>
      <c r="Q17" s="5"/>
      <c r="R17" s="5"/>
      <c r="S17" s="5"/>
      <c r="T17" s="5"/>
      <c r="U17" s="5"/>
      <c r="V17" s="5"/>
      <c r="W17" s="5"/>
      <c r="X17" s="5"/>
      <c r="Y17" s="5"/>
      <c r="Z17" s="6"/>
    </row>
    <row r="18" spans="1:26">
      <c r="A18" s="19" t="s">
        <v>29</v>
      </c>
      <c r="B18" s="20">
        <v>14.8</v>
      </c>
      <c r="C18" s="26">
        <f>COUNTIF('Round Log'!$A$6:$A$65,A18)</f>
        <v>4</v>
      </c>
      <c r="D18" s="21">
        <f>IF(C18=0,"",AVERAGEIF('Round Log'!$A$6:$A$65,A18,'Round Log'!$H$6:$H$65))</f>
        <v>14.807814511359286</v>
      </c>
      <c r="E18" s="21">
        <f>IF(C18=0,"",_xlfn.MINIFS('Round Log'!$H$6:$H$65,'Round Log'!$A$6:$A$65,A18))</f>
        <v>12.643356643356643</v>
      </c>
      <c r="F18" s="21">
        <f t="shared" si="0"/>
        <v>7.8145113592853477E-3</v>
      </c>
      <c r="G18" s="21">
        <f t="shared" si="1"/>
        <v>14.802344353407786</v>
      </c>
      <c r="H18" s="21">
        <f t="shared" si="2"/>
        <v>8</v>
      </c>
      <c r="I18" s="5"/>
      <c r="J18" s="5"/>
      <c r="K18" s="5"/>
      <c r="L18" s="5"/>
      <c r="M18" s="5"/>
      <c r="N18" s="5"/>
      <c r="O18" s="5"/>
      <c r="P18" s="5"/>
      <c r="Q18" s="5"/>
      <c r="R18" s="5"/>
      <c r="S18" s="5"/>
      <c r="T18" s="5"/>
      <c r="U18" s="5"/>
      <c r="V18" s="5"/>
      <c r="W18" s="5"/>
      <c r="X18" s="5"/>
      <c r="Y18" s="5"/>
      <c r="Z18" s="6"/>
    </row>
    <row r="19" spans="1:26">
      <c r="A19" s="19" t="s">
        <v>51</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2026-08-09T01:14:38Z</dcterms:modified>
  <cp:category/>
  <cp:contentStatus/>
</cp:coreProperties>
</file>
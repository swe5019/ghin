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17"/>
  <workbookPr defaultThemeVersion="166925"/>
  <xr:revisionPtr revIDLastSave="603" documentId="11_E60897F41BE170836B02CE998F75CCDC64E183C8" xr6:coauthVersionLast="47" xr6:coauthVersionMax="47" xr10:uidLastSave="{5BBA3306-779A-440E-98A6-E69A669C07A4}"/>
  <bookViews>
    <workbookView xWindow="240" yWindow="105" windowWidth="14805" windowHeight="8010" firstSheet="2" activeTab="2" xr2:uid="{00000000-000D-0000-FFFF-FFFF00000000}"/>
  </bookViews>
  <sheets>
    <sheet name="Instructions" sheetId="1" r:id="rId1"/>
    <sheet name="Round Log" sheetId="2" r:id="rId2"/>
    <sheet name="Golfer Summary" sheetId="3" r:id="rId3"/>
    <sheet name="Draft Tracker" sheetId="4" r:id="rId4"/>
  </sheets>
  <definedNames>
    <definedName name="_xlnm._FilterDatabase" localSheetId="1" hidden="1">'Round Log'!$A$4:$Z$4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94" i="2" l="1"/>
  <c r="H95" i="2"/>
  <c r="H96" i="2"/>
  <c r="H97" i="2"/>
  <c r="H98" i="2"/>
  <c r="H99" i="2"/>
  <c r="H100" i="2"/>
  <c r="H101" i="2"/>
  <c r="H102" i="2"/>
  <c r="H103" i="2"/>
  <c r="H104" i="2"/>
  <c r="H105" i="2"/>
  <c r="H106" i="2"/>
  <c r="H107" i="2"/>
  <c r="C5" i="3"/>
  <c r="C6" i="3"/>
  <c r="C7" i="3"/>
  <c r="C8" i="3"/>
  <c r="C9" i="3"/>
  <c r="C10" i="3"/>
  <c r="C11" i="3"/>
  <c r="C12" i="3"/>
  <c r="C13" i="3"/>
  <c r="C14" i="3"/>
  <c r="C15" i="3"/>
  <c r="C16" i="3"/>
  <c r="C17" i="3"/>
  <c r="C18" i="3"/>
  <c r="C19" i="3"/>
  <c r="E5" i="3"/>
  <c r="E6" i="3"/>
  <c r="E7" i="3"/>
  <c r="E8" i="3"/>
  <c r="E10" i="3"/>
  <c r="E11" i="3"/>
  <c r="E13" i="3"/>
  <c r="E14" i="3"/>
  <c r="E15" i="3"/>
  <c r="E16" i="3"/>
  <c r="E17" i="3"/>
  <c r="E18" i="3"/>
  <c r="E19" i="3"/>
  <c r="D5" i="3"/>
  <c r="D6" i="3"/>
  <c r="D7" i="3"/>
  <c r="D8" i="3"/>
  <c r="D10" i="3"/>
  <c r="D11" i="3"/>
  <c r="D13" i="3"/>
  <c r="D14" i="3"/>
  <c r="D15" i="3"/>
  <c r="D16" i="3"/>
  <c r="D17" i="3"/>
  <c r="D18" i="3"/>
  <c r="D19" i="3"/>
  <c r="E20" i="3"/>
  <c r="F19" i="3"/>
  <c r="G19" i="3"/>
  <c r="C4" i="3"/>
  <c r="H84" i="2"/>
  <c r="H85" i="2"/>
  <c r="H86" i="2"/>
  <c r="H87" i="2"/>
  <c r="H88" i="2"/>
  <c r="H89" i="2"/>
  <c r="H90" i="2"/>
  <c r="H91" i="2"/>
  <c r="H92" i="2"/>
  <c r="H93" i="2"/>
  <c r="H78" i="2"/>
  <c r="H79" i="2"/>
  <c r="H80" i="2"/>
  <c r="H81" i="2"/>
  <c r="H82" i="2"/>
  <c r="H83" i="2"/>
  <c r="H75" i="2"/>
  <c r="H76" i="2"/>
  <c r="H77" i="2"/>
  <c r="H66" i="2"/>
  <c r="H67" i="2"/>
  <c r="H68" i="2"/>
  <c r="H69" i="2"/>
  <c r="H70" i="2"/>
  <c r="H71" i="2"/>
  <c r="H72" i="2"/>
  <c r="H73" i="2"/>
  <c r="H74" i="2"/>
  <c r="H64" i="2"/>
  <c r="H65" i="2"/>
  <c r="H62" i="2"/>
  <c r="H63" i="2"/>
  <c r="H22" i="2"/>
  <c r="H23" i="2"/>
  <c r="H19" i="2"/>
  <c r="H20" i="2"/>
  <c r="H5" i="2"/>
  <c r="H55" i="2"/>
  <c r="H56" i="2"/>
  <c r="H9" i="2"/>
  <c r="H57" i="2"/>
  <c r="H10" i="2"/>
  <c r="H21" i="2"/>
  <c r="H53" i="2"/>
  <c r="H54" i="2"/>
  <c r="H18" i="2"/>
  <c r="H52" i="2"/>
  <c r="H61" i="2"/>
  <c r="H47" i="2"/>
  <c r="H48" i="2"/>
  <c r="H49" i="2"/>
  <c r="H50" i="2"/>
  <c r="H51" i="2"/>
  <c r="F15" i="3"/>
  <c r="G15" i="3"/>
  <c r="F16" i="3"/>
  <c r="G16" i="3"/>
  <c r="F17" i="3"/>
  <c r="G17" i="3"/>
  <c r="F18" i="3"/>
  <c r="G18" i="3"/>
  <c r="E5" i="4"/>
  <c r="D5" i="4"/>
  <c r="H25" i="2"/>
  <c r="H26" i="2"/>
  <c r="H27" i="2"/>
  <c r="H11" i="2"/>
  <c r="H12" i="2"/>
  <c r="H28" i="2"/>
  <c r="H29" i="2"/>
  <c r="H30" i="2"/>
  <c r="H31" i="2"/>
  <c r="H32" i="2"/>
  <c r="H33" i="2"/>
  <c r="H34" i="2"/>
  <c r="H58" i="2"/>
  <c r="H59" i="2"/>
  <c r="H60" i="2"/>
  <c r="H35" i="2"/>
  <c r="H36" i="2"/>
  <c r="H37" i="2"/>
  <c r="H38" i="2"/>
  <c r="H39" i="2"/>
  <c r="H40" i="2"/>
  <c r="H13" i="2"/>
  <c r="H6" i="2"/>
  <c r="H7" i="2"/>
  <c r="H41" i="2"/>
  <c r="H14" i="2"/>
  <c r="H15" i="2"/>
  <c r="H16" i="2"/>
  <c r="H42" i="2"/>
  <c r="H43" i="2"/>
  <c r="H44" i="2"/>
  <c r="H45" i="2"/>
  <c r="H46" i="2"/>
  <c r="H17" i="2"/>
  <c r="H8" i="2"/>
  <c r="H24" i="2"/>
  <c r="E12" i="3" l="1"/>
  <c r="D12" i="3"/>
  <c r="E9" i="3"/>
  <c r="D9" i="3"/>
  <c r="D4" i="3"/>
  <c r="E4" i="3"/>
  <c r="F5" i="3"/>
  <c r="G5" i="3"/>
  <c r="F6" i="3"/>
  <c r="G6" i="3"/>
  <c r="F7" i="3"/>
  <c r="G7" i="3"/>
  <c r="F8" i="3"/>
  <c r="G8" i="3"/>
  <c r="F9" i="3"/>
  <c r="G9" i="3"/>
  <c r="F10" i="3"/>
  <c r="G10" i="3"/>
  <c r="F11" i="3"/>
  <c r="G11" i="3"/>
  <c r="F12" i="3"/>
  <c r="G12" i="3"/>
  <c r="F13" i="3"/>
  <c r="G13" i="3"/>
  <c r="F14" i="3"/>
  <c r="G14" i="3"/>
  <c r="F4" i="3"/>
  <c r="G4" i="3"/>
  <c r="H19" i="3" l="1"/>
  <c r="H18" i="3"/>
  <c r="H17" i="3"/>
  <c r="H16" i="3"/>
  <c r="H15" i="3"/>
  <c r="H14" i="3"/>
  <c r="H13" i="3"/>
  <c r="H12" i="3"/>
  <c r="H8" i="3"/>
  <c r="H7" i="3"/>
  <c r="H6" i="3"/>
  <c r="H4" i="3"/>
  <c r="H5" i="3"/>
  <c r="H11" i="3"/>
  <c r="H10" i="3"/>
  <c r="H9" i="3"/>
</calcChain>
</file>

<file path=xl/sharedStrings.xml><?xml version="1.0" encoding="utf-8"?>
<sst xmlns="http://schemas.openxmlformats.org/spreadsheetml/2006/main" count="168" uniqueCount="60">
  <si>
    <t>Golf Draft Master Data — Instructions</t>
  </si>
  <si>
    <t>How this workbook is organized and how to use it before your draft.</t>
  </si>
  <si>
    <t>1. Round Log</t>
  </si>
  <si>
    <t>Enter every golfer's recent 2026 rounds here — one row per round. Include the course rating and slope rating printed on the scorecard (from the tees actually played) so the sheet can calculate an apples-to-apples Handicap Differential for every round.</t>
  </si>
  <si>
    <t>2. Golfer Summary</t>
  </si>
  <si>
    <t>One row per golfer (16 rows are pre-built). Enter each golfer's Name and current official Handicap Index (yellow cells). Everything else — rounds logged, average recent differential, recent form vs. handicap, blended projected score, and draft rank — calculates automatically from the Round Log.</t>
  </si>
  <si>
    <t>3. Draft Tracker</t>
  </si>
  <si>
    <t>A 16-pick snake draft board for two captains. Type a golfer's name into a pick and their handicap and rank auto-populate so you can track who's left as the draft goes.</t>
  </si>
  <si>
    <t>Key formulas used</t>
  </si>
  <si>
    <t>Handicap Differential</t>
  </si>
  <si>
    <t>Formula: (Score − Course Rating) × 113 ÷ Slope Rating. This is the standard USGA formula for turning a raw score into a course-independent number — a 78 on a hard course (high slope) produces a lower differential than a 78 on an easy course.</t>
  </si>
  <si>
    <t>Projected Draft Score</t>
  </si>
  <si>
    <t>A blend of each golfer's official Handicap Index and their average recent differential, weighted by the two cells at the top of the Golfer Summary sheet (default 70% official handicap / 30% recent form). Lower score = stronger golfer. Adjust the weights to taste — e.g. weight recent form higher if you think current play matters more than an old handicap.</t>
  </si>
  <si>
    <t>Draft Rank</t>
  </si>
  <si>
    <t>Ranks all 16 golfers by Projected Draft Score, 1 = strongest. Use this as your live draft board — captains can sort by whichever column matters most to their strategy.</t>
  </si>
  <si>
    <t>Notes</t>
  </si>
  <si>
    <t>Yellow cells are the only ones you need to type into. Everything else is a formula and will recalculate automatically. Golfer names must be spelled identically in the Round Log and Golfer Summary tabs (e.g. always 'Mike Jones', not 'Mike J.' in one place and 'Michael Jones' in another) or the lookups won't match.</t>
  </si>
  <si>
    <t>2026 Round Log</t>
  </si>
  <si>
    <t>One row per round played. Course Rating / Slope are printed on the scorecard for the tees played.</t>
  </si>
  <si>
    <t>Golfer Name</t>
  </si>
  <si>
    <t>Date</t>
  </si>
  <si>
    <t>Course Name</t>
  </si>
  <si>
    <t>Tees Played</t>
  </si>
  <si>
    <t>Course Rating</t>
  </si>
  <si>
    <t>Slope Rating</t>
  </si>
  <si>
    <t>Score (Gross)</t>
  </si>
  <si>
    <t>Tim Onushco</t>
  </si>
  <si>
    <t>Dan Cosentino</t>
  </si>
  <si>
    <t>Craig Zimmerman</t>
  </si>
  <si>
    <t>Aaron Maize</t>
  </si>
  <si>
    <t>Pat Coughlin</t>
  </si>
  <si>
    <t>Phil Bortz</t>
  </si>
  <si>
    <t>Dave McLean</t>
  </si>
  <si>
    <t>Stephen Ebeck</t>
  </si>
  <si>
    <t>Jared Fincke</t>
  </si>
  <si>
    <t>Sean Dainese</t>
  </si>
  <si>
    <t>Matt Kujava</t>
  </si>
  <si>
    <t>Ben McClure</t>
  </si>
  <si>
    <t>Mark Boardman</t>
  </si>
  <si>
    <t>Alex Smith</t>
  </si>
  <si>
    <t>Paul Schappell</t>
  </si>
  <si>
    <t>Nate Zimmel</t>
  </si>
  <si>
    <t>Golfer Summary &amp; Draft Rank</t>
  </si>
  <si>
    <t>Weight: Official Handicap</t>
  </si>
  <si>
    <t>Weight: Recent Form</t>
  </si>
  <si>
    <t>Yellow cells = type in. Everything else calculates from the Round Log.</t>
  </si>
  <si>
    <t>Current Handicap Index</t>
  </si>
  <si>
    <t>Rounds Logged (2026)</t>
  </si>
  <si>
    <t>Avg Recent Differential</t>
  </si>
  <si>
    <t>Best Recent Differential</t>
  </si>
  <si>
    <t>Recent Form vs. Handicap</t>
  </si>
  <si>
    <t>Nate ZImmel</t>
  </si>
  <si>
    <t>Draft Tracker — Snake Draft, 2 Captains, 16 Picks</t>
  </si>
  <si>
    <t>Type the drafted golfer's name in column C as picks happen; handicap and rank pull in automatically.</t>
  </si>
  <si>
    <t>Pick #</t>
  </si>
  <si>
    <t>Captain</t>
  </si>
  <si>
    <t>Golfer Drafted</t>
  </si>
  <si>
    <t>Draft Rank (from Summary)</t>
  </si>
  <si>
    <t>Captain 1</t>
  </si>
  <si>
    <t>Captain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</si>
</sst>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4"/>
      <color rgb="FF1F4E78"/>
      <name val="Arial"/>
      <charset val="1"/>
    </font>
    <font>
      <sz val="11"/>
      <color theme="1"/>
      <name val="Calibri"/>
      <charset val="1"/>
    </font>
    <font>
      <i/>
      <sz val="10"/>
      <color rgb="FF555555"/>
      <name val="Arial"/>
      <charset val="1"/>
    </font>
    <font>
      <b/>
      <sz val="11"/>
      <color theme="1"/>
      <name val="Arial"/>
      <charset val="1"/>
    </font>
    <font>
      <sz val="11"/>
      <color theme="1"/>
      <name val="Arial"/>
      <charset val="1"/>
    </font>
    <font>
      <b/>
      <sz val="12"/>
      <color rgb="FF1F4E78"/>
      <name val="Arial"/>
      <charset val="1"/>
    </font>
    <font>
      <b/>
      <sz val="11"/>
      <color rgb="FFFFFFFF"/>
      <name val="Arial"/>
      <charset val="1"/>
    </font>
    <font>
      <i/>
      <sz val="11"/>
      <color theme="1"/>
      <name val="Arial"/>
      <charset val="1"/>
    </font>
    <font>
      <b/>
      <sz val="9"/>
      <color theme="1"/>
      <name val="Arial"/>
      <charset val="1"/>
    </font>
    <font>
      <sz val="11"/>
      <color rgb="FF0000FF"/>
      <name val="Arial"/>
      <charset val="1"/>
    </font>
  </fonts>
  <fills count="5">
    <fill>
      <patternFill patternType="none"/>
    </fill>
    <fill>
      <patternFill patternType="gray125"/>
    </fill>
    <fill>
      <patternFill patternType="solid">
        <fgColor rgb="FF1F4E78"/>
        <bgColor indexed="64"/>
      </patternFill>
    </fill>
    <fill>
      <patternFill patternType="solid">
        <fgColor rgb="FFD9E1F2"/>
        <bgColor indexed="64"/>
      </patternFill>
    </fill>
    <fill>
      <patternFill patternType="solid">
        <fgColor rgb="FFFFFF00"/>
        <bgColor indexed="64"/>
      </patternFill>
    </fill>
  </fills>
  <borders count="17">
    <border>
      <left/>
      <right/>
      <top/>
      <bottom/>
      <diagonal/>
    </border>
    <border>
      <left style="thin">
        <color rgb="FF000000"/>
      </left>
      <right style="thin">
        <color rgb="FFCCCCCC"/>
      </right>
      <top style="thin">
        <color rgb="FF000000"/>
      </top>
      <bottom style="thin">
        <color rgb="FFCCCCCC"/>
      </bottom>
      <diagonal/>
    </border>
    <border>
      <left style="thin">
        <color rgb="FFCCCCCC"/>
      </left>
      <right style="thin">
        <color rgb="FFCCCCCC"/>
      </right>
      <top style="thin">
        <color rgb="FF000000"/>
      </top>
      <bottom style="thin">
        <color rgb="FFCCCCCC"/>
      </bottom>
      <diagonal/>
    </border>
    <border>
      <left style="thin">
        <color rgb="FFCCCCCC"/>
      </left>
      <right style="thin">
        <color rgb="FF000000"/>
      </right>
      <top style="thin">
        <color rgb="FF000000"/>
      </top>
      <bottom style="thin">
        <color rgb="FFCCCCCC"/>
      </bottom>
      <diagonal/>
    </border>
    <border>
      <left style="thin">
        <color rgb="FF000000"/>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style="thin">
        <color rgb="FF000000"/>
      </left>
      <right style="thin">
        <color rgb="FFCCCCCC"/>
      </right>
      <top style="thin">
        <color rgb="FFCCCCCC"/>
      </top>
      <bottom style="thin">
        <color rgb="FFBFBFBF"/>
      </bottom>
      <diagonal/>
    </border>
    <border>
      <left style="thin">
        <color rgb="FFCCCCCC"/>
      </left>
      <right style="thin">
        <color rgb="FFCCCCCC"/>
      </right>
      <top style="thin">
        <color rgb="FFCCCCCC"/>
      </top>
      <bottom style="thin">
        <color rgb="FFBFBFBF"/>
      </bottom>
      <diagonal/>
    </border>
    <border>
      <left style="thin">
        <color rgb="FF000000"/>
      </left>
      <right style="thin">
        <color rgb="FFBFBFBF"/>
      </right>
      <top style="thin">
        <color rgb="FFCCCCCC"/>
      </top>
      <bottom style="thin">
        <color rgb="FFBFBFBF"/>
      </bottom>
      <diagonal/>
    </border>
    <border>
      <left style="thin">
        <color rgb="FFCCCCCC"/>
      </left>
      <right style="thin">
        <color rgb="FFBFBFBF"/>
      </right>
      <top style="thin">
        <color rgb="FFCCCCCC"/>
      </top>
      <bottom style="thin">
        <color rgb="FFBFBFBF"/>
      </bottom>
      <diagonal/>
    </border>
  </borders>
  <cellStyleXfs count="1">
    <xf numFmtId="0" fontId="0" fillId="0" borderId="0"/>
  </cellStyleXfs>
  <cellXfs count="36">
    <xf numFmtId="0" fontId="0" fillId="0" borderId="0" xfId="0"/>
    <xf numFmtId="0" fontId="1" fillId="0" borderId="1" xfId="0" applyFont="1" applyBorder="1" applyAlignment="1">
      <alignment readingOrder="1"/>
    </xf>
    <xf numFmtId="0" fontId="2" fillId="0" borderId="2" xfId="0" applyFont="1" applyBorder="1" applyAlignment="1">
      <alignment readingOrder="1"/>
    </xf>
    <xf numFmtId="0" fontId="2" fillId="0" borderId="3" xfId="0" applyFont="1" applyBorder="1" applyAlignment="1">
      <alignment readingOrder="1"/>
    </xf>
    <xf numFmtId="0" fontId="3" fillId="0" borderId="4" xfId="0" applyFont="1" applyBorder="1" applyAlignment="1">
      <alignment readingOrder="1"/>
    </xf>
    <xf numFmtId="0" fontId="2" fillId="0" borderId="5" xfId="0" applyFont="1" applyBorder="1" applyAlignment="1">
      <alignment readingOrder="1"/>
    </xf>
    <xf numFmtId="0" fontId="2" fillId="0" borderId="6" xfId="0" applyFont="1" applyBorder="1" applyAlignment="1">
      <alignment readingOrder="1"/>
    </xf>
    <xf numFmtId="0" fontId="2" fillId="0" borderId="4" xfId="0" applyFont="1" applyBorder="1" applyAlignment="1">
      <alignment readingOrder="1"/>
    </xf>
    <xf numFmtId="0" fontId="4" fillId="0" borderId="4" xfId="0" applyFont="1" applyBorder="1" applyAlignment="1">
      <alignment readingOrder="1"/>
    </xf>
    <xf numFmtId="0" fontId="5" fillId="0" borderId="5" xfId="0" applyFont="1" applyBorder="1" applyAlignment="1">
      <alignment wrapText="1" readingOrder="1"/>
    </xf>
    <xf numFmtId="0" fontId="6" fillId="0" borderId="4" xfId="0" applyFont="1" applyBorder="1" applyAlignment="1">
      <alignment readingOrder="1"/>
    </xf>
    <xf numFmtId="0" fontId="2" fillId="0" borderId="10" xfId="0" applyFont="1" applyBorder="1" applyAlignment="1">
      <alignment readingOrder="1"/>
    </xf>
    <xf numFmtId="0" fontId="2" fillId="0" borderId="11" xfId="0" applyFont="1" applyBorder="1" applyAlignment="1">
      <alignment readingOrder="1"/>
    </xf>
    <xf numFmtId="0" fontId="2" fillId="0" borderId="12" xfId="0" applyFont="1" applyBorder="1" applyAlignment="1">
      <alignment readingOrder="1"/>
    </xf>
    <xf numFmtId="0" fontId="2" fillId="0" borderId="13" xfId="0" applyFont="1" applyBorder="1" applyAlignment="1">
      <alignment readingOrder="1"/>
    </xf>
    <xf numFmtId="0" fontId="2" fillId="0" borderId="14" xfId="0" applyFont="1" applyBorder="1" applyAlignment="1">
      <alignment readingOrder="1"/>
    </xf>
    <xf numFmtId="0" fontId="7" fillId="2" borderId="15" xfId="0" applyFont="1" applyFill="1" applyBorder="1" applyAlignment="1">
      <alignment wrapText="1" readingOrder="1"/>
    </xf>
    <xf numFmtId="0" fontId="7" fillId="2" borderId="16" xfId="0" applyFont="1" applyFill="1" applyBorder="1" applyAlignment="1">
      <alignment wrapText="1" readingOrder="1"/>
    </xf>
    <xf numFmtId="0" fontId="8" fillId="3" borderId="16" xfId="0" applyFont="1" applyFill="1" applyBorder="1" applyAlignment="1">
      <alignment readingOrder="1"/>
    </xf>
    <xf numFmtId="0" fontId="2" fillId="4" borderId="15" xfId="0" applyFont="1" applyFill="1" applyBorder="1" applyAlignment="1">
      <alignment readingOrder="1"/>
    </xf>
    <xf numFmtId="0" fontId="2" fillId="4" borderId="16" xfId="0" applyFont="1" applyFill="1" applyBorder="1" applyAlignment="1">
      <alignment readingOrder="1"/>
    </xf>
    <xf numFmtId="0" fontId="2" fillId="0" borderId="16" xfId="0" applyFont="1" applyBorder="1" applyAlignment="1">
      <alignment readingOrder="1"/>
    </xf>
    <xf numFmtId="0" fontId="9" fillId="0" borderId="2" xfId="0" applyFont="1" applyBorder="1" applyAlignment="1">
      <alignment wrapText="1" readingOrder="1"/>
    </xf>
    <xf numFmtId="9" fontId="10" fillId="4" borderId="2" xfId="0" applyNumberFormat="1" applyFont="1" applyFill="1" applyBorder="1" applyAlignment="1">
      <alignment readingOrder="1"/>
    </xf>
    <xf numFmtId="9" fontId="5" fillId="0" borderId="2" xfId="0" applyNumberFormat="1" applyFont="1" applyBorder="1" applyAlignment="1">
      <alignment readingOrder="1"/>
    </xf>
    <xf numFmtId="0" fontId="3" fillId="0" borderId="13" xfId="0" applyFont="1" applyBorder="1" applyAlignment="1">
      <alignment readingOrder="1"/>
    </xf>
    <xf numFmtId="0" fontId="5" fillId="0" borderId="16" xfId="0" applyFont="1" applyBorder="1" applyAlignment="1">
      <alignment readingOrder="1"/>
    </xf>
    <xf numFmtId="0" fontId="5" fillId="0" borderId="15" xfId="0" applyFont="1" applyBorder="1" applyAlignment="1">
      <alignment readingOrder="1"/>
    </xf>
    <xf numFmtId="14" fontId="2" fillId="4" borderId="15" xfId="0" applyNumberFormat="1" applyFont="1" applyFill="1" applyBorder="1" applyAlignment="1">
      <alignment readingOrder="1"/>
    </xf>
    <xf numFmtId="14" fontId="2" fillId="4" borderId="16" xfId="0" applyNumberFormat="1" applyFont="1" applyFill="1" applyBorder="1" applyAlignment="1">
      <alignment readingOrder="1"/>
    </xf>
    <xf numFmtId="0" fontId="2" fillId="0" borderId="7" xfId="0" applyFont="1" applyBorder="1" applyAlignment="1">
      <alignment readingOrder="1"/>
    </xf>
    <xf numFmtId="0" fontId="2" fillId="0" borderId="8" xfId="0" applyFont="1" applyBorder="1" applyAlignment="1">
      <alignment readingOrder="1"/>
    </xf>
    <xf numFmtId="0" fontId="2" fillId="0" borderId="9" xfId="0" applyFont="1" applyBorder="1" applyAlignment="1">
      <alignment readingOrder="1"/>
    </xf>
    <xf numFmtId="0" fontId="5" fillId="0" borderId="7" xfId="0" applyFont="1" applyBorder="1" applyAlignment="1">
      <alignment wrapText="1" readingOrder="1"/>
    </xf>
    <xf numFmtId="0" fontId="5" fillId="0" borderId="8" xfId="0" applyFont="1" applyBorder="1" applyAlignment="1">
      <alignment wrapText="1" readingOrder="1"/>
    </xf>
    <xf numFmtId="0" fontId="5" fillId="0" borderId="9" xfId="0" applyFont="1" applyBorder="1" applyAlignment="1">
      <alignment wrapText="1" readingOrder="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activeCell="H11" sqref="H11"/>
    </sheetView>
  </sheetViews>
  <sheetFormatPr defaultRowHeight="15"/>
  <cols>
    <col min="1" max="1" width="58" bestFit="1" customWidth="1"/>
    <col min="2" max="2" width="98.42578125" customWidth="1"/>
  </cols>
  <sheetData>
    <row r="1" spans="1:26" ht="18">
      <c r="A1" s="1" t="s">
        <v>0</v>
      </c>
      <c r="B1" s="2"/>
      <c r="C1" s="2"/>
      <c r="D1" s="2"/>
      <c r="E1" s="2"/>
      <c r="F1" s="2"/>
      <c r="G1" s="2"/>
      <c r="H1" s="2"/>
      <c r="I1" s="2"/>
      <c r="J1" s="2"/>
      <c r="K1" s="2"/>
      <c r="L1" s="2"/>
      <c r="M1" s="2"/>
      <c r="N1" s="2"/>
      <c r="O1" s="2"/>
      <c r="P1" s="2"/>
      <c r="Q1" s="2"/>
      <c r="R1" s="2"/>
      <c r="S1" s="2"/>
      <c r="T1" s="2"/>
      <c r="U1" s="2"/>
      <c r="V1" s="2"/>
      <c r="W1" s="2"/>
      <c r="X1" s="2"/>
      <c r="Y1" s="2"/>
      <c r="Z1" s="3"/>
    </row>
    <row r="2" spans="1:26">
      <c r="A2" s="4" t="s">
        <v>1</v>
      </c>
      <c r="B2" s="5"/>
      <c r="C2" s="5"/>
      <c r="D2" s="5"/>
      <c r="E2" s="5"/>
      <c r="F2" s="5"/>
      <c r="G2" s="5"/>
      <c r="H2" s="5"/>
      <c r="I2" s="5"/>
      <c r="J2" s="5"/>
      <c r="K2" s="5"/>
      <c r="L2" s="5"/>
      <c r="M2" s="5"/>
      <c r="N2" s="5"/>
      <c r="O2" s="5"/>
      <c r="P2" s="5"/>
      <c r="Q2" s="5"/>
      <c r="R2" s="5"/>
      <c r="S2" s="5"/>
      <c r="T2" s="5"/>
      <c r="U2" s="5"/>
      <c r="V2" s="5"/>
      <c r="W2" s="5"/>
      <c r="X2" s="5"/>
      <c r="Y2" s="5"/>
      <c r="Z2" s="6"/>
    </row>
    <row r="3" spans="1:26">
      <c r="A3" s="7"/>
      <c r="B3" s="5"/>
      <c r="C3" s="5"/>
      <c r="D3" s="5"/>
      <c r="E3" s="5"/>
      <c r="F3" s="5"/>
      <c r="G3" s="5"/>
      <c r="H3" s="5"/>
      <c r="I3" s="5"/>
      <c r="J3" s="5"/>
      <c r="K3" s="5"/>
      <c r="L3" s="5"/>
      <c r="M3" s="5"/>
      <c r="N3" s="5"/>
      <c r="O3" s="5"/>
      <c r="P3" s="5"/>
      <c r="Q3" s="5"/>
      <c r="R3" s="5"/>
      <c r="S3" s="5"/>
      <c r="T3" s="5"/>
      <c r="U3" s="5"/>
      <c r="V3" s="5"/>
      <c r="W3" s="5"/>
      <c r="X3" s="5"/>
      <c r="Y3" s="5"/>
      <c r="Z3" s="6"/>
    </row>
    <row r="4" spans="1:26">
      <c r="A4" s="7"/>
      <c r="B4" s="5"/>
      <c r="C4" s="5"/>
      <c r="D4" s="5"/>
      <c r="E4" s="5"/>
      <c r="F4" s="5"/>
      <c r="G4" s="5"/>
      <c r="H4" s="5"/>
      <c r="I4" s="5"/>
      <c r="J4" s="5"/>
      <c r="K4" s="5"/>
      <c r="L4" s="5"/>
      <c r="M4" s="5"/>
      <c r="N4" s="5"/>
      <c r="O4" s="5"/>
      <c r="P4" s="5"/>
      <c r="Q4" s="5"/>
      <c r="R4" s="5"/>
      <c r="S4" s="5"/>
      <c r="T4" s="5"/>
      <c r="U4" s="5"/>
      <c r="V4" s="5"/>
      <c r="W4" s="5"/>
      <c r="X4" s="5"/>
      <c r="Y4" s="5"/>
      <c r="Z4" s="6"/>
    </row>
    <row r="5" spans="1:26" ht="43.5">
      <c r="A5" s="8" t="s">
        <v>2</v>
      </c>
      <c r="B5" s="9" t="s">
        <v>3</v>
      </c>
      <c r="C5" s="5"/>
      <c r="D5" s="5"/>
      <c r="E5" s="5"/>
      <c r="F5" s="5"/>
      <c r="G5" s="5"/>
      <c r="H5" s="5"/>
      <c r="I5" s="5"/>
      <c r="J5" s="5"/>
      <c r="K5" s="5"/>
      <c r="L5" s="5"/>
      <c r="M5" s="5"/>
      <c r="N5" s="5"/>
      <c r="O5" s="5"/>
      <c r="P5" s="5"/>
      <c r="Q5" s="5"/>
      <c r="R5" s="5"/>
      <c r="S5" s="5"/>
      <c r="T5" s="5"/>
      <c r="U5" s="5"/>
      <c r="V5" s="5"/>
      <c r="W5" s="5"/>
      <c r="X5" s="5"/>
      <c r="Y5" s="5"/>
      <c r="Z5" s="6"/>
    </row>
    <row r="6" spans="1:26" ht="43.5">
      <c r="A6" s="8" t="s">
        <v>4</v>
      </c>
      <c r="B6" s="9" t="s">
        <v>5</v>
      </c>
      <c r="C6" s="5"/>
      <c r="D6" s="5"/>
      <c r="E6" s="5"/>
      <c r="F6" s="5"/>
      <c r="G6" s="5"/>
      <c r="H6" s="5"/>
      <c r="I6" s="5"/>
      <c r="J6" s="5"/>
      <c r="K6" s="5"/>
      <c r="L6" s="5"/>
      <c r="M6" s="5"/>
      <c r="N6" s="5"/>
      <c r="O6" s="5"/>
      <c r="P6" s="5"/>
      <c r="Q6" s="5"/>
      <c r="R6" s="5"/>
      <c r="S6" s="5"/>
      <c r="T6" s="5"/>
      <c r="U6" s="5"/>
      <c r="V6" s="5"/>
      <c r="W6" s="5"/>
      <c r="X6" s="5"/>
      <c r="Y6" s="5"/>
      <c r="Z6" s="6"/>
    </row>
    <row r="7" spans="1:26">
      <c r="A7" s="8" t="s">
        <v>6</v>
      </c>
      <c r="B7" s="33" t="s">
        <v>7</v>
      </c>
      <c r="C7" s="34"/>
      <c r="D7" s="35"/>
      <c r="E7" s="5"/>
      <c r="F7" s="5"/>
      <c r="G7" s="5"/>
      <c r="H7" s="5"/>
      <c r="I7" s="5"/>
      <c r="J7" s="5"/>
      <c r="K7" s="5"/>
      <c r="L7" s="5"/>
      <c r="M7" s="5"/>
      <c r="N7" s="5"/>
      <c r="O7" s="5"/>
      <c r="P7" s="5"/>
      <c r="Q7" s="5"/>
      <c r="R7" s="5"/>
      <c r="S7" s="5"/>
      <c r="T7" s="5"/>
      <c r="U7" s="5"/>
      <c r="V7" s="5"/>
      <c r="W7" s="5"/>
      <c r="X7" s="5"/>
      <c r="Y7" s="5"/>
      <c r="Z7" s="6"/>
    </row>
    <row r="8" spans="1:26">
      <c r="A8" s="7"/>
      <c r="B8" s="30"/>
      <c r="C8" s="31"/>
      <c r="D8" s="32"/>
      <c r="E8" s="5"/>
      <c r="F8" s="5"/>
      <c r="G8" s="5"/>
      <c r="H8" s="5"/>
      <c r="I8" s="5"/>
      <c r="J8" s="5"/>
      <c r="K8" s="5"/>
      <c r="L8" s="5"/>
      <c r="M8" s="5"/>
      <c r="N8" s="5"/>
      <c r="O8" s="5"/>
      <c r="P8" s="5"/>
      <c r="Q8" s="5"/>
      <c r="R8" s="5"/>
      <c r="S8" s="5"/>
      <c r="T8" s="5"/>
      <c r="U8" s="5"/>
      <c r="V8" s="5"/>
      <c r="W8" s="5"/>
      <c r="X8" s="5"/>
      <c r="Y8" s="5"/>
      <c r="Z8" s="6"/>
    </row>
    <row r="9" spans="1:26" ht="15.75">
      <c r="A9" s="10" t="s">
        <v>8</v>
      </c>
      <c r="B9" s="30"/>
      <c r="C9" s="31"/>
      <c r="D9" s="32"/>
      <c r="E9" s="5"/>
      <c r="F9" s="5"/>
      <c r="G9" s="5"/>
      <c r="H9" s="5"/>
      <c r="I9" s="5"/>
      <c r="J9" s="5"/>
      <c r="K9" s="5"/>
      <c r="L9" s="5"/>
      <c r="M9" s="5"/>
      <c r="N9" s="5"/>
      <c r="O9" s="5"/>
      <c r="P9" s="5"/>
      <c r="Q9" s="5"/>
      <c r="R9" s="5"/>
      <c r="S9" s="5"/>
      <c r="T9" s="5"/>
      <c r="U9" s="5"/>
      <c r="V9" s="5"/>
      <c r="W9" s="5"/>
      <c r="X9" s="5"/>
      <c r="Y9" s="5"/>
      <c r="Z9" s="6"/>
    </row>
    <row r="10" spans="1:26" ht="43.5">
      <c r="A10" s="8" t="s">
        <v>9</v>
      </c>
      <c r="B10" s="9" t="s">
        <v>10</v>
      </c>
      <c r="C10" s="5"/>
      <c r="D10" s="5"/>
      <c r="E10" s="5"/>
      <c r="F10" s="5"/>
      <c r="G10" s="5"/>
      <c r="H10" s="5"/>
      <c r="I10" s="5"/>
      <c r="J10" s="5"/>
      <c r="K10" s="5"/>
      <c r="L10" s="5"/>
      <c r="M10" s="5"/>
      <c r="N10" s="5"/>
      <c r="O10" s="5"/>
      <c r="P10" s="5"/>
      <c r="Q10" s="5"/>
      <c r="R10" s="5"/>
      <c r="S10" s="5"/>
      <c r="T10" s="5"/>
      <c r="U10" s="5"/>
      <c r="V10" s="5"/>
      <c r="W10" s="5"/>
      <c r="X10" s="5"/>
      <c r="Y10" s="5"/>
      <c r="Z10" s="6"/>
    </row>
    <row r="11" spans="1:26" ht="57.75">
      <c r="A11" s="8" t="s">
        <v>11</v>
      </c>
      <c r="B11" s="9" t="s">
        <v>12</v>
      </c>
      <c r="C11" s="5"/>
      <c r="D11" s="5"/>
      <c r="E11" s="5"/>
      <c r="F11" s="5"/>
      <c r="G11" s="5"/>
      <c r="H11" s="5"/>
      <c r="I11" s="5"/>
      <c r="J11" s="5"/>
      <c r="K11" s="5"/>
      <c r="L11" s="5"/>
      <c r="M11" s="5"/>
      <c r="N11" s="5"/>
      <c r="O11" s="5"/>
      <c r="P11" s="5"/>
      <c r="Q11" s="5"/>
      <c r="R11" s="5"/>
      <c r="S11" s="5"/>
      <c r="T11" s="5"/>
      <c r="U11" s="5"/>
      <c r="V11" s="5"/>
      <c r="W11" s="5"/>
      <c r="X11" s="5"/>
      <c r="Y11" s="5"/>
      <c r="Z11" s="6"/>
    </row>
    <row r="12" spans="1:26" ht="28.5">
      <c r="A12" s="8" t="s">
        <v>13</v>
      </c>
      <c r="B12" s="9" t="s">
        <v>14</v>
      </c>
      <c r="C12" s="5"/>
      <c r="D12" s="5"/>
      <c r="E12" s="5"/>
      <c r="F12" s="5"/>
      <c r="G12" s="5"/>
      <c r="H12" s="5"/>
      <c r="I12" s="5"/>
      <c r="J12" s="5"/>
      <c r="K12" s="5"/>
      <c r="L12" s="5"/>
      <c r="M12" s="5"/>
      <c r="N12" s="5"/>
      <c r="O12" s="5"/>
      <c r="P12" s="5"/>
      <c r="Q12" s="5"/>
      <c r="R12" s="5"/>
      <c r="S12" s="5"/>
      <c r="T12" s="5"/>
      <c r="U12" s="5"/>
      <c r="V12" s="5"/>
      <c r="W12" s="5"/>
      <c r="X12" s="5"/>
      <c r="Y12" s="5"/>
      <c r="Z12" s="6"/>
    </row>
    <row r="13" spans="1:26">
      <c r="A13" s="7"/>
      <c r="B13" s="5"/>
      <c r="C13" s="5"/>
      <c r="D13" s="5"/>
      <c r="E13" s="5"/>
      <c r="F13" s="5"/>
      <c r="G13" s="5"/>
      <c r="H13" s="5"/>
      <c r="I13" s="5"/>
      <c r="J13" s="5"/>
      <c r="K13" s="5"/>
      <c r="L13" s="5"/>
      <c r="M13" s="5"/>
      <c r="N13" s="5"/>
      <c r="O13" s="5"/>
      <c r="P13" s="5"/>
      <c r="Q13" s="5"/>
      <c r="R13" s="5"/>
      <c r="S13" s="5"/>
      <c r="T13" s="5"/>
      <c r="U13" s="5"/>
      <c r="V13" s="5"/>
      <c r="W13" s="5"/>
      <c r="X13" s="5"/>
      <c r="Y13" s="5"/>
      <c r="Z13" s="6"/>
    </row>
    <row r="14" spans="1:26">
      <c r="A14" s="8" t="s">
        <v>15</v>
      </c>
      <c r="B14" s="33" t="s">
        <v>16</v>
      </c>
      <c r="C14" s="34"/>
      <c r="D14" s="35"/>
      <c r="E14" s="5"/>
      <c r="F14" s="5"/>
      <c r="G14" s="5"/>
      <c r="H14" s="5"/>
      <c r="I14" s="5"/>
      <c r="J14" s="5"/>
      <c r="K14" s="5"/>
      <c r="L14" s="5"/>
      <c r="M14" s="5"/>
      <c r="N14" s="5"/>
      <c r="O14" s="5"/>
      <c r="P14" s="5"/>
      <c r="Q14" s="5"/>
      <c r="R14" s="5"/>
      <c r="S14" s="5"/>
      <c r="T14" s="5"/>
      <c r="U14" s="5"/>
      <c r="V14" s="5"/>
      <c r="W14" s="5"/>
      <c r="X14" s="5"/>
      <c r="Y14" s="5"/>
      <c r="Z14" s="6"/>
    </row>
    <row r="15" spans="1:26">
      <c r="A15" s="7"/>
      <c r="B15" s="30"/>
      <c r="C15" s="31"/>
      <c r="D15" s="32"/>
      <c r="E15" s="5"/>
      <c r="F15" s="5"/>
      <c r="G15" s="5"/>
      <c r="H15" s="5"/>
      <c r="I15" s="5"/>
      <c r="J15" s="5"/>
      <c r="K15" s="5"/>
      <c r="L15" s="5"/>
      <c r="M15" s="5"/>
      <c r="N15" s="5"/>
      <c r="O15" s="5"/>
      <c r="P15" s="5"/>
      <c r="Q15" s="5"/>
      <c r="R15" s="5"/>
      <c r="S15" s="5"/>
      <c r="T15" s="5"/>
      <c r="U15" s="5"/>
      <c r="V15" s="5"/>
      <c r="W15" s="5"/>
      <c r="X15" s="5"/>
      <c r="Y15" s="5"/>
      <c r="Z15" s="6"/>
    </row>
    <row r="16" spans="1:26">
      <c r="A16" s="7"/>
      <c r="B16" s="30"/>
      <c r="C16" s="31"/>
      <c r="D16" s="32"/>
      <c r="E16" s="5"/>
      <c r="F16" s="5"/>
      <c r="G16" s="5"/>
      <c r="H16" s="5"/>
      <c r="I16" s="5"/>
      <c r="J16" s="5"/>
      <c r="K16" s="5"/>
      <c r="L16" s="5"/>
      <c r="M16" s="5"/>
      <c r="N16" s="5"/>
      <c r="O16" s="5"/>
      <c r="P16" s="5"/>
      <c r="Q16" s="5"/>
      <c r="R16" s="5"/>
      <c r="S16" s="5"/>
      <c r="T16" s="5"/>
      <c r="U16" s="5"/>
      <c r="V16" s="5"/>
      <c r="W16" s="5"/>
      <c r="X16" s="5"/>
      <c r="Y16" s="5"/>
      <c r="Z16" s="6"/>
    </row>
    <row r="17" spans="1:26">
      <c r="A17" s="7"/>
      <c r="B17" s="5"/>
      <c r="C17" s="5"/>
      <c r="D17" s="5"/>
      <c r="E17" s="5"/>
      <c r="F17" s="5"/>
      <c r="G17" s="5"/>
      <c r="H17" s="5"/>
      <c r="I17" s="5"/>
      <c r="J17" s="5"/>
      <c r="K17" s="5"/>
      <c r="L17" s="5"/>
      <c r="M17" s="5"/>
      <c r="N17" s="5"/>
      <c r="O17" s="5"/>
      <c r="P17" s="5"/>
      <c r="Q17" s="5"/>
      <c r="R17" s="5"/>
      <c r="S17" s="5"/>
      <c r="T17" s="5"/>
      <c r="U17" s="5"/>
      <c r="V17" s="5"/>
      <c r="W17" s="5"/>
      <c r="X17" s="5"/>
      <c r="Y17" s="5"/>
      <c r="Z17" s="6"/>
    </row>
    <row r="18" spans="1:26">
      <c r="A18" s="7"/>
      <c r="B18" s="5"/>
      <c r="C18" s="5"/>
      <c r="D18" s="5"/>
      <c r="E18" s="5"/>
      <c r="F18" s="5"/>
      <c r="G18" s="5"/>
      <c r="H18" s="5"/>
      <c r="I18" s="5"/>
      <c r="J18" s="5"/>
      <c r="K18" s="5"/>
      <c r="L18" s="5"/>
      <c r="M18" s="5"/>
      <c r="N18" s="5"/>
      <c r="O18" s="5"/>
      <c r="P18" s="5"/>
      <c r="Q18" s="5"/>
      <c r="R18" s="5"/>
      <c r="S18" s="5"/>
      <c r="T18" s="5"/>
      <c r="U18" s="5"/>
      <c r="V18" s="5"/>
      <c r="W18" s="5"/>
      <c r="X18" s="5"/>
      <c r="Y18" s="5"/>
      <c r="Z18" s="6"/>
    </row>
    <row r="19" spans="1:26">
      <c r="A19" s="7"/>
      <c r="B19" s="30"/>
      <c r="C19" s="31"/>
      <c r="D19" s="32"/>
      <c r="E19" s="5"/>
      <c r="F19" s="5"/>
      <c r="G19" s="5"/>
      <c r="H19" s="5"/>
      <c r="I19" s="5"/>
      <c r="J19" s="5"/>
      <c r="K19" s="5"/>
      <c r="L19" s="5"/>
      <c r="M19" s="5"/>
      <c r="N19" s="5"/>
      <c r="O19" s="5"/>
      <c r="P19" s="5"/>
      <c r="Q19" s="5"/>
      <c r="R19" s="5"/>
      <c r="S19" s="5"/>
      <c r="T19" s="5"/>
      <c r="U19" s="5"/>
      <c r="V19" s="5"/>
      <c r="W19" s="5"/>
      <c r="X19" s="5"/>
      <c r="Y19" s="5"/>
      <c r="Z19" s="6"/>
    </row>
    <row r="20" spans="1:26">
      <c r="A20" s="7"/>
      <c r="B20" s="5"/>
      <c r="C20" s="5"/>
      <c r="D20" s="5"/>
      <c r="E20" s="5"/>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mergeCells count="7">
    <mergeCell ref="B19:D19"/>
    <mergeCell ref="B7:D7"/>
    <mergeCell ref="B8:D8"/>
    <mergeCell ref="B9:D9"/>
    <mergeCell ref="B14:D14"/>
    <mergeCell ref="B15:D15"/>
    <mergeCell ref="B16:D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B5BBD-6791-4722-BC0A-381E0CD5C1FE}">
  <dimension ref="A1:Z1000"/>
  <sheetViews>
    <sheetView topLeftCell="A12" workbookViewId="0">
      <selection activeCell="H94" sqref="H94"/>
    </sheetView>
  </sheetViews>
  <sheetFormatPr defaultRowHeight="15"/>
  <cols>
    <col min="1" max="1" width="84.42578125" bestFit="1" customWidth="1"/>
    <col min="2" max="2" width="10.7109375" bestFit="1" customWidth="1"/>
    <col min="3" max="3" width="13.5703125" bestFit="1" customWidth="1"/>
    <col min="5" max="5" width="10.42578125" bestFit="1" customWidth="1"/>
    <col min="7" max="7" width="14" customWidth="1"/>
    <col min="8" max="8" width="15.85546875" customWidth="1"/>
  </cols>
  <sheetData>
    <row r="1" spans="1:26" ht="18">
      <c r="A1" s="1" t="s">
        <v>17</v>
      </c>
      <c r="B1" s="2"/>
      <c r="C1" s="2"/>
      <c r="D1" s="2"/>
      <c r="E1" s="2"/>
      <c r="F1" s="2"/>
      <c r="G1" s="2"/>
      <c r="H1" s="2"/>
      <c r="I1" s="2"/>
      <c r="J1" s="2"/>
      <c r="K1" s="2"/>
      <c r="L1" s="2"/>
      <c r="M1" s="2"/>
      <c r="N1" s="2"/>
      <c r="O1" s="2"/>
      <c r="P1" s="2"/>
      <c r="Q1" s="2"/>
      <c r="R1" s="2"/>
      <c r="S1" s="2"/>
      <c r="T1" s="2"/>
      <c r="U1" s="2"/>
      <c r="V1" s="2"/>
      <c r="W1" s="2"/>
      <c r="X1" s="2"/>
      <c r="Y1" s="2"/>
      <c r="Z1" s="3"/>
    </row>
    <row r="2" spans="1:26">
      <c r="A2" s="4" t="s">
        <v>18</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15"/>
      <c r="G3" s="15"/>
      <c r="H3" s="15"/>
      <c r="I3" s="5"/>
      <c r="J3" s="5"/>
      <c r="K3" s="5"/>
      <c r="L3" s="5"/>
      <c r="M3" s="5"/>
      <c r="N3" s="5"/>
      <c r="O3" s="5"/>
      <c r="P3" s="5"/>
      <c r="Q3" s="5"/>
      <c r="R3" s="5"/>
      <c r="S3" s="5"/>
      <c r="T3" s="5"/>
      <c r="U3" s="5"/>
      <c r="V3" s="5"/>
      <c r="W3" s="5"/>
      <c r="X3" s="5"/>
      <c r="Y3" s="5"/>
      <c r="Z3" s="6"/>
    </row>
    <row r="4" spans="1:26" ht="57.75">
      <c r="A4" s="16" t="s">
        <v>19</v>
      </c>
      <c r="B4" s="17" t="s">
        <v>20</v>
      </c>
      <c r="C4" s="17" t="s">
        <v>21</v>
      </c>
      <c r="D4" s="17" t="s">
        <v>22</v>
      </c>
      <c r="E4" s="17" t="s">
        <v>23</v>
      </c>
      <c r="F4" s="17" t="s">
        <v>24</v>
      </c>
      <c r="G4" s="17" t="s">
        <v>25</v>
      </c>
      <c r="H4" s="17" t="s">
        <v>9</v>
      </c>
      <c r="I4" s="5"/>
      <c r="J4" s="5"/>
      <c r="K4" s="5"/>
      <c r="L4" s="5"/>
      <c r="M4" s="5"/>
      <c r="N4" s="5"/>
      <c r="O4" s="5"/>
      <c r="P4" s="5"/>
      <c r="Q4" s="5"/>
      <c r="R4" s="5"/>
      <c r="S4" s="5"/>
      <c r="T4" s="5"/>
      <c r="U4" s="5"/>
      <c r="V4" s="5"/>
      <c r="W4" s="5"/>
      <c r="X4" s="5"/>
      <c r="Y4" s="5"/>
      <c r="Z4" s="6"/>
    </row>
    <row r="5" spans="1:26">
      <c r="A5" s="19" t="s">
        <v>26</v>
      </c>
      <c r="B5" s="28">
        <v>46113</v>
      </c>
      <c r="C5" s="19"/>
      <c r="D5" s="19"/>
      <c r="E5" s="19">
        <v>71</v>
      </c>
      <c r="F5" s="19">
        <v>129</v>
      </c>
      <c r="G5" s="19">
        <v>90</v>
      </c>
      <c r="H5" s="18">
        <f>IF(OR(A5="",E5="",F5="",G5=""),"",(G5-E5)*113/F5)</f>
        <v>16.643410852713178</v>
      </c>
      <c r="I5" s="5"/>
      <c r="J5" s="5"/>
      <c r="K5" s="5"/>
      <c r="L5" s="5"/>
      <c r="M5" s="5"/>
      <c r="N5" s="5"/>
      <c r="O5" s="5"/>
      <c r="P5" s="5"/>
      <c r="Q5" s="5"/>
      <c r="R5" s="5"/>
      <c r="S5" s="5"/>
      <c r="T5" s="5"/>
      <c r="U5" s="5"/>
      <c r="V5" s="5"/>
      <c r="W5" s="5"/>
      <c r="X5" s="5"/>
      <c r="Y5" s="5"/>
      <c r="Z5" s="6"/>
    </row>
    <row r="6" spans="1:26">
      <c r="A6" s="19" t="s">
        <v>27</v>
      </c>
      <c r="B6" s="29">
        <v>46143</v>
      </c>
      <c r="C6" s="20"/>
      <c r="D6" s="20"/>
      <c r="E6" s="20">
        <v>70.599999999999994</v>
      </c>
      <c r="F6" s="20">
        <v>132</v>
      </c>
      <c r="G6" s="20">
        <v>103</v>
      </c>
      <c r="H6" s="18">
        <f>IF(OR(A6="",E6="",F6="",G6=""),"",(G6-E6)*113/F6)</f>
        <v>27.736363636363642</v>
      </c>
      <c r="I6" s="5"/>
      <c r="J6" s="5"/>
      <c r="K6" s="5"/>
      <c r="L6" s="5"/>
      <c r="M6" s="5"/>
      <c r="N6" s="5"/>
      <c r="O6" s="5"/>
      <c r="P6" s="5"/>
      <c r="Q6" s="5"/>
      <c r="R6" s="5"/>
      <c r="S6" s="5"/>
      <c r="T6" s="5"/>
      <c r="U6" s="5"/>
      <c r="V6" s="5"/>
      <c r="W6" s="5"/>
      <c r="X6" s="5"/>
      <c r="Y6" s="5"/>
      <c r="Z6" s="6"/>
    </row>
    <row r="7" spans="1:26">
      <c r="A7" s="19" t="s">
        <v>27</v>
      </c>
      <c r="B7" s="29">
        <v>46143</v>
      </c>
      <c r="C7" s="20"/>
      <c r="D7" s="20"/>
      <c r="E7" s="20">
        <v>72.400000000000006</v>
      </c>
      <c r="F7" s="20">
        <v>135</v>
      </c>
      <c r="G7" s="20">
        <v>94</v>
      </c>
      <c r="H7" s="18">
        <f>IF(OR(A7="",E7="",F7="",G7=""),"",(G7-E7)*113/F7)</f>
        <v>18.079999999999995</v>
      </c>
      <c r="I7" s="5"/>
      <c r="J7" s="5"/>
      <c r="K7" s="5"/>
      <c r="L7" s="5"/>
      <c r="M7" s="5"/>
      <c r="N7" s="5"/>
      <c r="O7" s="5"/>
      <c r="P7" s="5"/>
      <c r="Q7" s="5"/>
      <c r="R7" s="5"/>
      <c r="S7" s="5"/>
      <c r="T7" s="5"/>
      <c r="U7" s="5"/>
      <c r="V7" s="5"/>
      <c r="W7" s="5"/>
      <c r="X7" s="5"/>
      <c r="Y7" s="5"/>
      <c r="Z7" s="6"/>
    </row>
    <row r="8" spans="1:26">
      <c r="A8" s="19" t="s">
        <v>28</v>
      </c>
      <c r="B8" s="29">
        <v>46143</v>
      </c>
      <c r="C8" s="20"/>
      <c r="D8" s="20"/>
      <c r="E8" s="20">
        <v>70.2</v>
      </c>
      <c r="F8" s="20">
        <v>124</v>
      </c>
      <c r="G8" s="20">
        <v>80</v>
      </c>
      <c r="H8" s="18">
        <f>IF(OR(A8="",E8="",F8="",G8=""),"",(G8-E8)*113/F8)</f>
        <v>8.9306451612903199</v>
      </c>
      <c r="I8" s="5"/>
      <c r="J8" s="5"/>
      <c r="K8" s="5"/>
      <c r="L8" s="5"/>
      <c r="M8" s="5"/>
      <c r="N8" s="5"/>
      <c r="O8" s="5"/>
      <c r="P8" s="5"/>
      <c r="Q8" s="5"/>
      <c r="R8" s="5"/>
      <c r="S8" s="5"/>
      <c r="T8" s="5"/>
      <c r="U8" s="5"/>
      <c r="V8" s="5"/>
      <c r="W8" s="5"/>
      <c r="X8" s="5"/>
      <c r="Y8" s="5"/>
      <c r="Z8" s="6"/>
    </row>
    <row r="9" spans="1:26">
      <c r="A9" s="19" t="s">
        <v>29</v>
      </c>
      <c r="B9" s="29">
        <v>46143</v>
      </c>
      <c r="C9" s="20"/>
      <c r="D9" s="20"/>
      <c r="E9" s="20">
        <v>71</v>
      </c>
      <c r="F9" s="20">
        <v>132</v>
      </c>
      <c r="G9" s="20">
        <v>94</v>
      </c>
      <c r="H9" s="18">
        <f>IF(OR(A9="",E9="",F9="",G9=""),"",(G9-E9)*113/F9)</f>
        <v>19.689393939393938</v>
      </c>
      <c r="I9" s="5"/>
      <c r="J9" s="5"/>
      <c r="K9" s="5"/>
      <c r="L9" s="5"/>
      <c r="M9" s="5"/>
      <c r="N9" s="5"/>
      <c r="O9" s="5"/>
      <c r="P9" s="5"/>
      <c r="Q9" s="5"/>
      <c r="R9" s="5"/>
      <c r="S9" s="5"/>
      <c r="T9" s="5"/>
      <c r="U9" s="5"/>
      <c r="V9" s="5"/>
      <c r="W9" s="5"/>
      <c r="X9" s="5"/>
      <c r="Y9" s="5"/>
      <c r="Z9" s="6"/>
    </row>
    <row r="10" spans="1:26">
      <c r="A10" s="19" t="s">
        <v>27</v>
      </c>
      <c r="B10" s="29">
        <v>46143</v>
      </c>
      <c r="C10" s="20"/>
      <c r="D10" s="20"/>
      <c r="E10" s="20">
        <v>71.5</v>
      </c>
      <c r="F10" s="20">
        <v>127</v>
      </c>
      <c r="G10" s="20">
        <v>101</v>
      </c>
      <c r="H10" s="18">
        <f>IF(OR(A10="",E10="",F10="",G10=""),"",(G10-E10)*113/F10)</f>
        <v>26.248031496062993</v>
      </c>
      <c r="I10" s="5"/>
      <c r="J10" s="5"/>
      <c r="K10" s="5"/>
      <c r="L10" s="5"/>
      <c r="M10" s="5"/>
      <c r="N10" s="5"/>
      <c r="O10" s="5"/>
      <c r="P10" s="5"/>
      <c r="Q10" s="5"/>
      <c r="R10" s="5"/>
      <c r="S10" s="5"/>
      <c r="T10" s="5"/>
      <c r="U10" s="5"/>
      <c r="V10" s="5"/>
      <c r="W10" s="5"/>
      <c r="X10" s="5"/>
      <c r="Y10" s="5"/>
      <c r="Z10" s="6"/>
    </row>
    <row r="11" spans="1:26">
      <c r="A11" s="19" t="s">
        <v>30</v>
      </c>
      <c r="B11" s="29">
        <v>46174</v>
      </c>
      <c r="C11" s="20"/>
      <c r="D11" s="20"/>
      <c r="E11" s="20">
        <v>71.400000000000006</v>
      </c>
      <c r="F11" s="20">
        <v>130</v>
      </c>
      <c r="G11" s="20">
        <v>91</v>
      </c>
      <c r="H11" s="18">
        <f>IF(OR(A11="",E11="",F11="",G11=""),"",(G11-E11)*113/F11)</f>
        <v>17.03692307692307</v>
      </c>
      <c r="I11" s="5"/>
      <c r="J11" s="5"/>
      <c r="K11" s="5"/>
      <c r="L11" s="5"/>
      <c r="M11" s="5"/>
      <c r="N11" s="5"/>
      <c r="O11" s="5"/>
      <c r="P11" s="5"/>
      <c r="Q11" s="5"/>
      <c r="R11" s="5"/>
      <c r="S11" s="5"/>
      <c r="T11" s="5"/>
      <c r="U11" s="5"/>
      <c r="V11" s="5"/>
      <c r="W11" s="5"/>
      <c r="X11" s="5"/>
      <c r="Y11" s="5"/>
      <c r="Z11" s="6"/>
    </row>
    <row r="12" spans="1:26">
      <c r="A12" s="19" t="s">
        <v>30</v>
      </c>
      <c r="B12" s="29">
        <v>46174</v>
      </c>
      <c r="C12" s="20"/>
      <c r="D12" s="20"/>
      <c r="E12" s="20">
        <v>71.099999999999994</v>
      </c>
      <c r="F12" s="20">
        <v>126</v>
      </c>
      <c r="G12" s="20">
        <v>91</v>
      </c>
      <c r="H12" s="18">
        <f>IF(OR(A12="",E12="",F12="",G12=""),"",(G12-E12)*113/F12)</f>
        <v>17.846825396825402</v>
      </c>
      <c r="I12" s="5"/>
      <c r="J12" s="5"/>
      <c r="K12" s="5"/>
      <c r="L12" s="5"/>
      <c r="M12" s="5"/>
      <c r="N12" s="5"/>
      <c r="O12" s="5"/>
      <c r="P12" s="5"/>
      <c r="Q12" s="5"/>
      <c r="R12" s="5"/>
      <c r="S12" s="5"/>
      <c r="T12" s="5"/>
      <c r="U12" s="5"/>
      <c r="V12" s="5"/>
      <c r="W12" s="5"/>
      <c r="X12" s="5"/>
      <c r="Y12" s="5"/>
      <c r="Z12" s="6"/>
    </row>
    <row r="13" spans="1:26">
      <c r="A13" s="19" t="s">
        <v>31</v>
      </c>
      <c r="B13" s="29">
        <v>46174</v>
      </c>
      <c r="C13" s="20"/>
      <c r="D13" s="20"/>
      <c r="E13" s="20">
        <v>71.7</v>
      </c>
      <c r="F13" s="20">
        <v>139</v>
      </c>
      <c r="G13" s="20">
        <v>114</v>
      </c>
      <c r="H13" s="18">
        <f>IF(OR(A13="",E13="",F13="",G13=""),"",(G13-E13)*113/F13)</f>
        <v>34.387769784172662</v>
      </c>
      <c r="I13" s="5"/>
      <c r="J13" s="5"/>
      <c r="K13" s="5"/>
      <c r="L13" s="5"/>
      <c r="M13" s="5"/>
      <c r="N13" s="5"/>
      <c r="O13" s="5"/>
      <c r="P13" s="5"/>
      <c r="Q13" s="5"/>
      <c r="R13" s="5"/>
      <c r="S13" s="5"/>
      <c r="T13" s="5"/>
      <c r="U13" s="5"/>
      <c r="V13" s="5"/>
      <c r="W13" s="5"/>
      <c r="X13" s="5"/>
      <c r="Y13" s="5"/>
      <c r="Z13" s="6"/>
    </row>
    <row r="14" spans="1:26">
      <c r="A14" s="19" t="s">
        <v>32</v>
      </c>
      <c r="B14" s="29">
        <v>46174</v>
      </c>
      <c r="C14" s="20"/>
      <c r="D14" s="20"/>
      <c r="E14" s="20">
        <v>72.7</v>
      </c>
      <c r="F14" s="20">
        <v>134</v>
      </c>
      <c r="G14" s="20">
        <v>85</v>
      </c>
      <c r="H14" s="18">
        <f>IF(OR(A14="",E14="",F14="",G14=""),"",(G14-E14)*113/F14)</f>
        <v>10.372388059701489</v>
      </c>
      <c r="I14" s="5"/>
      <c r="J14" s="5"/>
      <c r="K14" s="5"/>
      <c r="L14" s="5"/>
      <c r="M14" s="5"/>
      <c r="N14" s="5"/>
      <c r="O14" s="5"/>
      <c r="P14" s="5"/>
      <c r="Q14" s="5"/>
      <c r="R14" s="5"/>
      <c r="S14" s="5"/>
      <c r="T14" s="5"/>
      <c r="U14" s="5"/>
      <c r="V14" s="5"/>
      <c r="W14" s="5"/>
      <c r="X14" s="5"/>
      <c r="Y14" s="5"/>
      <c r="Z14" s="6"/>
    </row>
    <row r="15" spans="1:26">
      <c r="A15" s="19" t="s">
        <v>32</v>
      </c>
      <c r="B15" s="29">
        <v>46174</v>
      </c>
      <c r="C15" s="20"/>
      <c r="D15" s="20"/>
      <c r="E15" s="20">
        <v>72.7</v>
      </c>
      <c r="F15" s="20">
        <v>134</v>
      </c>
      <c r="G15" s="20">
        <v>84</v>
      </c>
      <c r="H15" s="18">
        <f>IF(OR(A15="",E15="",F15="",G15=""),"",(G15-E15)*113/F15)</f>
        <v>9.5291044776119378</v>
      </c>
      <c r="I15" s="5"/>
      <c r="J15" s="5"/>
      <c r="K15" s="5"/>
      <c r="L15" s="5"/>
      <c r="M15" s="5"/>
      <c r="N15" s="5"/>
      <c r="O15" s="5"/>
      <c r="P15" s="5"/>
      <c r="Q15" s="5"/>
      <c r="R15" s="5"/>
      <c r="S15" s="5"/>
      <c r="T15" s="5"/>
      <c r="U15" s="5"/>
      <c r="V15" s="5"/>
      <c r="W15" s="5"/>
      <c r="X15" s="5"/>
      <c r="Y15" s="5"/>
      <c r="Z15" s="6"/>
    </row>
    <row r="16" spans="1:26">
      <c r="A16" s="19" t="s">
        <v>32</v>
      </c>
      <c r="B16" s="29">
        <v>46174</v>
      </c>
      <c r="C16" s="20"/>
      <c r="D16" s="20"/>
      <c r="E16" s="20">
        <v>72.7</v>
      </c>
      <c r="F16" s="20">
        <v>134</v>
      </c>
      <c r="G16" s="20">
        <v>78</v>
      </c>
      <c r="H16" s="18">
        <f>IF(OR(A16="",E16="",F16="",G16=""),"",(G16-E16)*113/F16)</f>
        <v>4.4694029850746242</v>
      </c>
      <c r="I16" s="5"/>
      <c r="J16" s="5"/>
      <c r="K16" s="5"/>
      <c r="L16" s="5"/>
      <c r="M16" s="5"/>
      <c r="N16" s="5"/>
      <c r="O16" s="5"/>
      <c r="P16" s="5"/>
      <c r="Q16" s="5"/>
      <c r="R16" s="5"/>
      <c r="S16" s="5"/>
      <c r="T16" s="5"/>
      <c r="U16" s="5"/>
      <c r="V16" s="5"/>
      <c r="W16" s="5"/>
      <c r="X16" s="5"/>
      <c r="Y16" s="5"/>
      <c r="Z16" s="6"/>
    </row>
    <row r="17" spans="1:26">
      <c r="A17" s="19" t="s">
        <v>28</v>
      </c>
      <c r="B17" s="29">
        <v>46174</v>
      </c>
      <c r="C17" s="20"/>
      <c r="D17" s="20"/>
      <c r="E17" s="20">
        <v>70</v>
      </c>
      <c r="F17" s="20">
        <v>125</v>
      </c>
      <c r="G17" s="20">
        <v>83</v>
      </c>
      <c r="H17" s="18">
        <f>IF(OR(A17="",E17="",F17="",G17=""),"",(G17-E17)*113/F17)</f>
        <v>11.752000000000001</v>
      </c>
      <c r="I17" s="5"/>
      <c r="J17" s="5"/>
      <c r="K17" s="5"/>
      <c r="L17" s="5"/>
      <c r="M17" s="5"/>
      <c r="N17" s="5"/>
      <c r="O17" s="5"/>
      <c r="P17" s="5"/>
      <c r="Q17" s="5"/>
      <c r="R17" s="5"/>
      <c r="S17" s="5"/>
      <c r="T17" s="5"/>
      <c r="U17" s="5"/>
      <c r="V17" s="5"/>
      <c r="W17" s="5"/>
      <c r="X17" s="5"/>
      <c r="Y17" s="5"/>
      <c r="Z17" s="6"/>
    </row>
    <row r="18" spans="1:26">
      <c r="A18" s="19" t="s">
        <v>33</v>
      </c>
      <c r="B18" s="29">
        <v>46174</v>
      </c>
      <c r="C18" s="20"/>
      <c r="D18" s="20"/>
      <c r="E18" s="20">
        <v>67.7</v>
      </c>
      <c r="F18" s="20">
        <v>127</v>
      </c>
      <c r="G18" s="20">
        <v>72</v>
      </c>
      <c r="H18" s="18">
        <f>IF(OR(A18="",E18="",F18="",G18=""),"",(G18-E18)*113/F18)</f>
        <v>3.8259842519685017</v>
      </c>
      <c r="I18" s="5"/>
      <c r="J18" s="5"/>
      <c r="K18" s="5"/>
      <c r="L18" s="5"/>
      <c r="M18" s="5"/>
      <c r="N18" s="5"/>
      <c r="O18" s="5"/>
      <c r="P18" s="5"/>
      <c r="Q18" s="5"/>
      <c r="R18" s="5"/>
      <c r="S18" s="5"/>
      <c r="T18" s="5"/>
      <c r="U18" s="5"/>
      <c r="V18" s="5"/>
      <c r="W18" s="5"/>
      <c r="X18" s="5"/>
      <c r="Y18" s="5"/>
      <c r="Z18" s="6"/>
    </row>
    <row r="19" spans="1:26">
      <c r="A19" s="19" t="s">
        <v>33</v>
      </c>
      <c r="B19" s="29">
        <v>46174</v>
      </c>
      <c r="C19" s="20"/>
      <c r="D19" s="20"/>
      <c r="E19" s="20">
        <v>70.3</v>
      </c>
      <c r="F19" s="20">
        <v>130</v>
      </c>
      <c r="G19" s="20">
        <v>87</v>
      </c>
      <c r="H19" s="18">
        <f>IF(OR(A19="",E19="",F19="",G19=""),"",(G19-E19)*113/F19)</f>
        <v>14.516153846153848</v>
      </c>
      <c r="I19" s="5"/>
      <c r="J19" s="5"/>
      <c r="K19" s="5"/>
      <c r="L19" s="5"/>
      <c r="M19" s="5"/>
      <c r="N19" s="5"/>
      <c r="O19" s="5"/>
      <c r="P19" s="5"/>
      <c r="Q19" s="5"/>
      <c r="R19" s="5"/>
      <c r="S19" s="5"/>
      <c r="T19" s="5"/>
      <c r="U19" s="5"/>
      <c r="V19" s="5"/>
      <c r="W19" s="5"/>
      <c r="X19" s="5"/>
      <c r="Y19" s="5"/>
      <c r="Z19" s="6"/>
    </row>
    <row r="20" spans="1:26">
      <c r="A20" s="19" t="s">
        <v>26</v>
      </c>
      <c r="B20" s="29">
        <v>46174</v>
      </c>
      <c r="C20" s="20"/>
      <c r="D20" s="20"/>
      <c r="E20" s="20">
        <v>70.900000000000006</v>
      </c>
      <c r="F20" s="20">
        <v>128</v>
      </c>
      <c r="G20" s="20">
        <v>91</v>
      </c>
      <c r="H20" s="18">
        <f>IF(OR(A20="",E20="",F20="",G20=""),"",(G20-E20)*113/F20)</f>
        <v>17.744531249999994</v>
      </c>
      <c r="I20" s="5"/>
      <c r="J20" s="5"/>
      <c r="K20" s="5"/>
      <c r="L20" s="5"/>
      <c r="M20" s="5"/>
      <c r="N20" s="5"/>
      <c r="O20" s="5"/>
      <c r="P20" s="5"/>
      <c r="Q20" s="5"/>
      <c r="R20" s="5"/>
      <c r="S20" s="5"/>
      <c r="T20" s="5"/>
      <c r="U20" s="5"/>
      <c r="V20" s="5"/>
      <c r="W20" s="5"/>
      <c r="X20" s="5"/>
      <c r="Y20" s="5"/>
      <c r="Z20" s="6"/>
    </row>
    <row r="21" spans="1:26">
      <c r="A21" s="19" t="s">
        <v>34</v>
      </c>
      <c r="B21" s="29">
        <v>46174</v>
      </c>
      <c r="C21" s="20"/>
      <c r="D21" s="20"/>
      <c r="E21" s="20">
        <v>68.8</v>
      </c>
      <c r="F21" s="20">
        <v>119</v>
      </c>
      <c r="G21" s="20">
        <v>86</v>
      </c>
      <c r="H21" s="18">
        <f>IF(OR(A21="",E21="",F21="",G21=""),"",(G21-E21)*113/F21)</f>
        <v>16.3327731092437</v>
      </c>
      <c r="I21" s="5"/>
      <c r="J21" s="5"/>
      <c r="K21" s="5"/>
      <c r="L21" s="5"/>
      <c r="M21" s="5"/>
      <c r="N21" s="5"/>
      <c r="O21" s="5"/>
      <c r="P21" s="5"/>
      <c r="Q21" s="5"/>
      <c r="R21" s="5"/>
      <c r="S21" s="5"/>
      <c r="T21" s="5"/>
      <c r="U21" s="5"/>
      <c r="V21" s="5"/>
      <c r="W21" s="5"/>
      <c r="X21" s="5"/>
      <c r="Y21" s="5"/>
      <c r="Z21" s="6"/>
    </row>
    <row r="22" spans="1:26">
      <c r="A22" s="19" t="s">
        <v>33</v>
      </c>
      <c r="B22" s="29">
        <v>46174</v>
      </c>
      <c r="C22" s="20"/>
      <c r="D22" s="20"/>
      <c r="E22" s="20">
        <v>71</v>
      </c>
      <c r="F22" s="20">
        <v>132</v>
      </c>
      <c r="G22" s="20">
        <v>99</v>
      </c>
      <c r="H22" s="18">
        <f>IF(OR(A22="",E22="",F22="",G22=""),"",(G22-E22)*113/F22)</f>
        <v>23.969696969696969</v>
      </c>
      <c r="I22" s="5"/>
      <c r="J22" s="5"/>
      <c r="K22" s="5"/>
      <c r="L22" s="5"/>
      <c r="M22" s="5"/>
      <c r="N22" s="5"/>
      <c r="O22" s="5"/>
      <c r="P22" s="5"/>
      <c r="Q22" s="5"/>
      <c r="R22" s="5"/>
      <c r="S22" s="5"/>
      <c r="T22" s="5"/>
      <c r="U22" s="5"/>
      <c r="V22" s="5"/>
      <c r="W22" s="5"/>
      <c r="X22" s="5"/>
      <c r="Y22" s="5"/>
      <c r="Z22" s="6"/>
    </row>
    <row r="23" spans="1:26">
      <c r="A23" s="19" t="s">
        <v>35</v>
      </c>
      <c r="B23" s="29">
        <v>46204</v>
      </c>
      <c r="C23" s="20"/>
      <c r="D23" s="20"/>
      <c r="E23" s="20">
        <v>74</v>
      </c>
      <c r="F23" s="20">
        <v>141</v>
      </c>
      <c r="G23" s="20">
        <v>74</v>
      </c>
      <c r="H23" s="18">
        <f>IF(OR(A23="",E23="",F23="",G23=""),"",(G23-E23)*113/F23)</f>
        <v>0</v>
      </c>
      <c r="I23" s="5"/>
      <c r="J23" s="5"/>
      <c r="K23" s="5"/>
      <c r="L23" s="5"/>
      <c r="M23" s="5"/>
      <c r="N23" s="5"/>
      <c r="O23" s="5"/>
      <c r="P23" s="5"/>
      <c r="Q23" s="5"/>
      <c r="R23" s="5"/>
      <c r="S23" s="5"/>
      <c r="T23" s="5"/>
      <c r="U23" s="5"/>
      <c r="V23" s="5"/>
      <c r="W23" s="5"/>
      <c r="X23" s="5"/>
      <c r="Y23" s="5"/>
      <c r="Z23" s="6"/>
    </row>
    <row r="24" spans="1:26">
      <c r="A24" s="19" t="s">
        <v>35</v>
      </c>
      <c r="B24" s="29">
        <v>46204</v>
      </c>
      <c r="C24" s="20"/>
      <c r="D24" s="20"/>
      <c r="E24" s="20">
        <v>72.400000000000006</v>
      </c>
      <c r="F24" s="20">
        <v>135</v>
      </c>
      <c r="G24" s="20">
        <v>76</v>
      </c>
      <c r="H24" s="18">
        <f>IF(OR(A24="",E24="",F24="",G24=""),"",(G24-E24)*113/F24)</f>
        <v>3.0133333333333288</v>
      </c>
      <c r="I24" s="5"/>
      <c r="J24" s="5"/>
      <c r="K24" s="5"/>
      <c r="L24" s="5"/>
      <c r="M24" s="5"/>
      <c r="N24" s="5"/>
      <c r="O24" s="5"/>
      <c r="P24" s="5"/>
      <c r="Q24" s="5"/>
      <c r="R24" s="5"/>
      <c r="S24" s="5"/>
      <c r="T24" s="5"/>
      <c r="U24" s="5"/>
      <c r="V24" s="5"/>
      <c r="W24" s="5"/>
      <c r="X24" s="5"/>
      <c r="Y24" s="5"/>
      <c r="Z24" s="6"/>
    </row>
    <row r="25" spans="1:26">
      <c r="A25" s="19" t="s">
        <v>35</v>
      </c>
      <c r="B25" s="29">
        <v>46204</v>
      </c>
      <c r="C25" s="20"/>
      <c r="D25" s="20"/>
      <c r="E25" s="20">
        <v>71.5</v>
      </c>
      <c r="F25" s="20">
        <v>129</v>
      </c>
      <c r="G25" s="20">
        <v>76</v>
      </c>
      <c r="H25" s="18">
        <f>IF(OR(A25="",E25="",F25="",G25=""),"",(G25-E25)*113/F25)</f>
        <v>3.941860465116279</v>
      </c>
      <c r="I25" s="5"/>
      <c r="J25" s="5"/>
      <c r="K25" s="5"/>
      <c r="L25" s="5"/>
      <c r="M25" s="5"/>
      <c r="N25" s="5"/>
      <c r="O25" s="5"/>
      <c r="P25" s="5"/>
      <c r="Q25" s="5"/>
      <c r="R25" s="5"/>
      <c r="S25" s="5"/>
      <c r="T25" s="5"/>
      <c r="U25" s="5"/>
      <c r="V25" s="5"/>
      <c r="W25" s="5"/>
      <c r="X25" s="5"/>
      <c r="Y25" s="5"/>
      <c r="Z25" s="6"/>
    </row>
    <row r="26" spans="1:26">
      <c r="A26" s="19" t="s">
        <v>30</v>
      </c>
      <c r="B26" s="29">
        <v>46204</v>
      </c>
      <c r="C26" s="20"/>
      <c r="D26" s="20"/>
      <c r="E26" s="20">
        <v>70.3</v>
      </c>
      <c r="F26" s="20">
        <v>130</v>
      </c>
      <c r="G26" s="20">
        <v>87</v>
      </c>
      <c r="H26" s="18">
        <f>IF(OR(A26="",E26="",F26="",G26=""),"",(G26-E26)*113/F26)</f>
        <v>14.516153846153848</v>
      </c>
      <c r="I26" s="5"/>
      <c r="J26" s="5"/>
      <c r="K26" s="5"/>
      <c r="L26" s="5"/>
      <c r="M26" s="5"/>
      <c r="N26" s="5"/>
      <c r="O26" s="5"/>
      <c r="P26" s="5"/>
      <c r="Q26" s="5"/>
      <c r="R26" s="5"/>
      <c r="S26" s="5"/>
      <c r="T26" s="5"/>
      <c r="U26" s="5"/>
      <c r="V26" s="5"/>
      <c r="W26" s="5"/>
      <c r="X26" s="5"/>
      <c r="Y26" s="5"/>
      <c r="Z26" s="6"/>
    </row>
    <row r="27" spans="1:26">
      <c r="A27" s="19" t="s">
        <v>30</v>
      </c>
      <c r="B27" s="29">
        <v>46204</v>
      </c>
      <c r="C27" s="20"/>
      <c r="D27" s="20"/>
      <c r="E27" s="20">
        <v>71.099999999999994</v>
      </c>
      <c r="F27" s="20">
        <v>126</v>
      </c>
      <c r="G27" s="20">
        <v>95</v>
      </c>
      <c r="H27" s="18">
        <f>IF(OR(A27="",E27="",F27="",G27=""),"",(G27-E27)*113/F27)</f>
        <v>21.434126984126991</v>
      </c>
      <c r="I27" s="5"/>
      <c r="J27" s="5"/>
      <c r="K27" s="5"/>
      <c r="L27" s="5"/>
      <c r="M27" s="5"/>
      <c r="N27" s="5"/>
      <c r="O27" s="5"/>
      <c r="P27" s="5"/>
      <c r="Q27" s="5"/>
      <c r="R27" s="5"/>
      <c r="S27" s="5"/>
      <c r="T27" s="5"/>
      <c r="U27" s="5"/>
      <c r="V27" s="5"/>
      <c r="W27" s="5"/>
      <c r="X27" s="5"/>
      <c r="Y27" s="5"/>
      <c r="Z27" s="6"/>
    </row>
    <row r="28" spans="1:26">
      <c r="A28" s="19" t="s">
        <v>34</v>
      </c>
      <c r="B28" s="29">
        <v>46204</v>
      </c>
      <c r="C28" s="20"/>
      <c r="D28" s="20"/>
      <c r="E28" s="20">
        <v>71.3</v>
      </c>
      <c r="F28" s="20">
        <v>128</v>
      </c>
      <c r="G28" s="20">
        <v>86</v>
      </c>
      <c r="H28" s="18">
        <f>IF(OR(A28="",E28="",F28="",G28=""),"",(G28-E28)*113/F28)</f>
        <v>12.977343750000003</v>
      </c>
      <c r="I28" s="5"/>
      <c r="J28" s="5"/>
      <c r="K28" s="5"/>
      <c r="L28" s="5"/>
      <c r="M28" s="5"/>
      <c r="N28" s="5"/>
      <c r="O28" s="5"/>
      <c r="P28" s="5"/>
      <c r="Q28" s="5"/>
      <c r="R28" s="5"/>
      <c r="S28" s="5"/>
      <c r="T28" s="5"/>
      <c r="U28" s="5"/>
      <c r="V28" s="5"/>
      <c r="W28" s="5"/>
      <c r="X28" s="5"/>
      <c r="Y28" s="5"/>
      <c r="Z28" s="6"/>
    </row>
    <row r="29" spans="1:26">
      <c r="A29" s="19" t="s">
        <v>34</v>
      </c>
      <c r="B29" s="29">
        <v>46204</v>
      </c>
      <c r="C29" s="20"/>
      <c r="D29" s="20"/>
      <c r="E29" s="20">
        <v>71.599999999999994</v>
      </c>
      <c r="F29" s="20">
        <v>128</v>
      </c>
      <c r="G29" s="20">
        <v>95</v>
      </c>
      <c r="H29" s="18">
        <f>IF(OR(A29="",E29="",F29="",G29=""),"",(G29-E29)*113/F29)</f>
        <v>20.657812500000006</v>
      </c>
      <c r="I29" s="5"/>
      <c r="J29" s="5"/>
      <c r="K29" s="5"/>
      <c r="L29" s="5"/>
      <c r="M29" s="5"/>
      <c r="N29" s="5"/>
      <c r="O29" s="5"/>
      <c r="P29" s="5"/>
      <c r="Q29" s="5"/>
      <c r="R29" s="5"/>
      <c r="S29" s="5"/>
      <c r="T29" s="5"/>
      <c r="U29" s="5"/>
      <c r="V29" s="5"/>
      <c r="W29" s="5"/>
      <c r="X29" s="5"/>
      <c r="Y29" s="5"/>
      <c r="Z29" s="6"/>
    </row>
    <row r="30" spans="1:26">
      <c r="A30" s="19" t="s">
        <v>34</v>
      </c>
      <c r="B30" s="29">
        <v>46204</v>
      </c>
      <c r="C30" s="20"/>
      <c r="D30" s="20"/>
      <c r="E30" s="20">
        <v>70.400000000000006</v>
      </c>
      <c r="F30" s="20">
        <v>131</v>
      </c>
      <c r="G30" s="20">
        <v>90</v>
      </c>
      <c r="H30" s="18">
        <f>IF(OR(A30="",E30="",F30="",G30=""),"",(G30-E30)*113/F30)</f>
        <v>16.906870229007627</v>
      </c>
      <c r="I30" s="5"/>
      <c r="J30" s="5"/>
      <c r="K30" s="5"/>
      <c r="L30" s="5"/>
      <c r="M30" s="5"/>
      <c r="N30" s="5"/>
      <c r="O30" s="5"/>
      <c r="P30" s="5"/>
      <c r="Q30" s="5"/>
      <c r="R30" s="5"/>
      <c r="S30" s="5"/>
      <c r="T30" s="5"/>
      <c r="U30" s="5"/>
      <c r="V30" s="5"/>
      <c r="W30" s="5"/>
      <c r="X30" s="5"/>
      <c r="Y30" s="5"/>
      <c r="Z30" s="6"/>
    </row>
    <row r="31" spans="1:26">
      <c r="A31" s="19" t="s">
        <v>34</v>
      </c>
      <c r="B31" s="29">
        <v>46204</v>
      </c>
      <c r="C31" s="20"/>
      <c r="D31" s="20"/>
      <c r="E31" s="20">
        <v>69.599999999999994</v>
      </c>
      <c r="F31" s="20">
        <v>134</v>
      </c>
      <c r="G31" s="20">
        <v>84</v>
      </c>
      <c r="H31" s="18">
        <f>IF(OR(A31="",E31="",F31="",G31=""),"",(G31-E31)*113/F31)</f>
        <v>12.143283582089557</v>
      </c>
      <c r="I31" s="5"/>
      <c r="J31" s="5"/>
      <c r="K31" s="5"/>
      <c r="L31" s="5"/>
      <c r="M31" s="5"/>
      <c r="N31" s="5"/>
      <c r="O31" s="5"/>
      <c r="P31" s="5"/>
      <c r="Q31" s="5"/>
      <c r="R31" s="5"/>
      <c r="S31" s="5"/>
      <c r="T31" s="5"/>
      <c r="U31" s="5"/>
      <c r="V31" s="5"/>
      <c r="W31" s="5"/>
      <c r="X31" s="5"/>
      <c r="Y31" s="5"/>
      <c r="Z31" s="6"/>
    </row>
    <row r="32" spans="1:26">
      <c r="A32" s="19" t="s">
        <v>36</v>
      </c>
      <c r="B32" s="29">
        <v>46204</v>
      </c>
      <c r="C32" s="20"/>
      <c r="D32" s="20"/>
      <c r="E32" s="20">
        <v>71.3</v>
      </c>
      <c r="F32" s="20">
        <v>128</v>
      </c>
      <c r="G32" s="20">
        <v>91</v>
      </c>
      <c r="H32" s="18">
        <f>IF(OR(A32="",E32="",F32="",G32=""),"",(G32-E32)*113/F32)</f>
        <v>17.391406250000003</v>
      </c>
      <c r="I32" s="5"/>
      <c r="J32" s="5"/>
      <c r="K32" s="5"/>
      <c r="L32" s="5"/>
      <c r="M32" s="5"/>
      <c r="N32" s="5"/>
      <c r="O32" s="5"/>
      <c r="P32" s="5"/>
      <c r="Q32" s="5"/>
      <c r="R32" s="5"/>
      <c r="S32" s="5"/>
      <c r="T32" s="5"/>
      <c r="U32" s="5"/>
      <c r="V32" s="5"/>
      <c r="W32" s="5"/>
      <c r="X32" s="5"/>
      <c r="Y32" s="5"/>
      <c r="Z32" s="6"/>
    </row>
    <row r="33" spans="1:26">
      <c r="A33" s="19" t="s">
        <v>36</v>
      </c>
      <c r="B33" s="29">
        <v>46204</v>
      </c>
      <c r="C33" s="20"/>
      <c r="D33" s="20"/>
      <c r="E33" s="20">
        <v>71.599999999999994</v>
      </c>
      <c r="F33" s="20">
        <v>128</v>
      </c>
      <c r="G33" s="20">
        <v>85</v>
      </c>
      <c r="H33" s="18">
        <f>IF(OR(A33="",E33="",F33="",G33=""),"",(G33-E33)*113/F33)</f>
        <v>11.829687500000006</v>
      </c>
      <c r="I33" s="5"/>
      <c r="J33" s="5"/>
      <c r="K33" s="5"/>
      <c r="L33" s="5"/>
      <c r="M33" s="5"/>
      <c r="N33" s="5"/>
      <c r="O33" s="5"/>
      <c r="P33" s="5"/>
      <c r="Q33" s="5"/>
      <c r="R33" s="5"/>
      <c r="S33" s="5"/>
      <c r="T33" s="5"/>
      <c r="U33" s="5"/>
      <c r="V33" s="5"/>
      <c r="W33" s="5"/>
      <c r="X33" s="5"/>
      <c r="Y33" s="5"/>
      <c r="Z33" s="6"/>
    </row>
    <row r="34" spans="1:26">
      <c r="A34" s="19" t="s">
        <v>36</v>
      </c>
      <c r="B34" s="29">
        <v>46204</v>
      </c>
      <c r="C34" s="20"/>
      <c r="D34" s="20"/>
      <c r="E34" s="20">
        <v>72.8</v>
      </c>
      <c r="F34" s="20">
        <v>139</v>
      </c>
      <c r="G34" s="20">
        <v>92</v>
      </c>
      <c r="H34" s="18">
        <f>IF(OR(A34="",E34="",F34="",G34=""),"",(G34-E34)*113/F34)</f>
        <v>15.608633093525183</v>
      </c>
      <c r="I34" s="5"/>
      <c r="J34" s="5"/>
      <c r="K34" s="5"/>
      <c r="L34" s="5"/>
      <c r="M34" s="5"/>
      <c r="N34" s="5"/>
      <c r="O34" s="5"/>
      <c r="P34" s="5"/>
      <c r="Q34" s="5"/>
      <c r="R34" s="5"/>
      <c r="S34" s="5"/>
      <c r="T34" s="5"/>
      <c r="U34" s="5"/>
      <c r="V34" s="5"/>
      <c r="W34" s="5"/>
      <c r="X34" s="5"/>
      <c r="Y34" s="5"/>
      <c r="Z34" s="6"/>
    </row>
    <row r="35" spans="1:26">
      <c r="A35" s="19" t="s">
        <v>37</v>
      </c>
      <c r="B35" s="29">
        <v>46204</v>
      </c>
      <c r="C35" s="20"/>
      <c r="D35" s="20"/>
      <c r="E35" s="20">
        <v>71.5</v>
      </c>
      <c r="F35" s="20">
        <v>139</v>
      </c>
      <c r="G35" s="20">
        <v>94</v>
      </c>
      <c r="H35" s="18">
        <f>IF(OR(A35="",E35="",F35="",G35=""),"",(G35-E35)*113/F35)</f>
        <v>18.291366906474821</v>
      </c>
      <c r="I35" s="5"/>
      <c r="J35" s="5"/>
      <c r="K35" s="5"/>
      <c r="L35" s="5"/>
      <c r="M35" s="5"/>
      <c r="N35" s="5"/>
      <c r="O35" s="5"/>
      <c r="P35" s="5"/>
      <c r="Q35" s="5"/>
      <c r="R35" s="5"/>
      <c r="S35" s="5"/>
      <c r="T35" s="5"/>
      <c r="U35" s="5"/>
      <c r="V35" s="5"/>
      <c r="W35" s="5"/>
      <c r="X35" s="5"/>
      <c r="Y35" s="5"/>
      <c r="Z35" s="6"/>
    </row>
    <row r="36" spans="1:26">
      <c r="A36" s="19" t="s">
        <v>38</v>
      </c>
      <c r="B36" s="29">
        <v>46204</v>
      </c>
      <c r="C36" s="20"/>
      <c r="D36" s="20"/>
      <c r="E36" s="20">
        <v>72.599999999999994</v>
      </c>
      <c r="F36" s="20">
        <v>132</v>
      </c>
      <c r="G36" s="20">
        <v>83</v>
      </c>
      <c r="H36" s="18">
        <f>IF(OR(A36="",E36="",F36="",G36=""),"",(G36-E36)*113/F36)</f>
        <v>8.9030303030303077</v>
      </c>
      <c r="I36" s="5"/>
      <c r="J36" s="5"/>
      <c r="K36" s="5"/>
      <c r="L36" s="5"/>
      <c r="M36" s="5"/>
      <c r="N36" s="5"/>
      <c r="O36" s="5"/>
      <c r="P36" s="5"/>
      <c r="Q36" s="5"/>
      <c r="R36" s="5"/>
      <c r="S36" s="5"/>
      <c r="T36" s="5"/>
      <c r="U36" s="5"/>
      <c r="V36" s="5"/>
      <c r="W36" s="5"/>
      <c r="X36" s="5"/>
      <c r="Y36" s="5"/>
      <c r="Z36" s="6"/>
    </row>
    <row r="37" spans="1:26">
      <c r="A37" s="19" t="s">
        <v>38</v>
      </c>
      <c r="B37" s="29">
        <v>46204</v>
      </c>
      <c r="C37" s="20"/>
      <c r="D37" s="20"/>
      <c r="E37" s="20">
        <v>68.599999999999994</v>
      </c>
      <c r="F37" s="20">
        <v>119</v>
      </c>
      <c r="G37" s="20">
        <v>79</v>
      </c>
      <c r="H37" s="18">
        <f>IF(OR(A37="",E37="",F37="",G37=""),"",(G37-E37)*113/F37)</f>
        <v>9.8756302521008461</v>
      </c>
      <c r="I37" s="5"/>
      <c r="J37" s="5"/>
      <c r="K37" s="5"/>
      <c r="L37" s="5"/>
      <c r="M37" s="5"/>
      <c r="N37" s="5"/>
      <c r="O37" s="5"/>
      <c r="P37" s="5"/>
      <c r="Q37" s="5"/>
      <c r="R37" s="5"/>
      <c r="S37" s="5"/>
      <c r="T37" s="5"/>
      <c r="U37" s="5"/>
      <c r="V37" s="5"/>
      <c r="W37" s="5"/>
      <c r="X37" s="5"/>
      <c r="Y37" s="5"/>
      <c r="Z37" s="6"/>
    </row>
    <row r="38" spans="1:26">
      <c r="A38" s="19" t="s">
        <v>38</v>
      </c>
      <c r="B38" s="29">
        <v>46204</v>
      </c>
      <c r="C38" s="20"/>
      <c r="D38" s="20"/>
      <c r="E38" s="20">
        <v>70.3</v>
      </c>
      <c r="F38" s="20">
        <v>130</v>
      </c>
      <c r="G38" s="20">
        <v>76</v>
      </c>
      <c r="H38" s="18">
        <f>IF(OR(A38="",E38="",F38="",G38=""),"",(G38-E38)*113/F38)</f>
        <v>4.9546153846153871</v>
      </c>
      <c r="I38" s="5"/>
      <c r="J38" s="5"/>
      <c r="K38" s="5"/>
      <c r="L38" s="5"/>
      <c r="M38" s="5"/>
      <c r="N38" s="5"/>
      <c r="O38" s="5"/>
      <c r="P38" s="5"/>
      <c r="Q38" s="5"/>
      <c r="R38" s="5"/>
      <c r="S38" s="5"/>
      <c r="T38" s="5"/>
      <c r="U38" s="5"/>
      <c r="V38" s="5"/>
      <c r="W38" s="5"/>
      <c r="X38" s="5"/>
      <c r="Y38" s="5"/>
      <c r="Z38" s="6"/>
    </row>
    <row r="39" spans="1:26">
      <c r="A39" s="19" t="s">
        <v>38</v>
      </c>
      <c r="B39" s="29">
        <v>46204</v>
      </c>
      <c r="C39" s="20"/>
      <c r="D39" s="20"/>
      <c r="E39" s="20">
        <v>71.099999999999994</v>
      </c>
      <c r="F39" s="20">
        <v>126</v>
      </c>
      <c r="G39" s="20">
        <v>84</v>
      </c>
      <c r="H39" s="18">
        <f>IF(OR(A39="",E39="",F39="",G39=""),"",(G39-E39)*113/F39)</f>
        <v>11.569047619047625</v>
      </c>
      <c r="I39" s="5"/>
      <c r="J39" s="5"/>
      <c r="K39" s="5"/>
      <c r="L39" s="5"/>
      <c r="M39" s="5"/>
      <c r="N39" s="5"/>
      <c r="O39" s="5"/>
      <c r="P39" s="5"/>
      <c r="Q39" s="5"/>
      <c r="R39" s="5"/>
      <c r="S39" s="5"/>
      <c r="T39" s="5"/>
      <c r="U39" s="5"/>
      <c r="V39" s="5"/>
      <c r="W39" s="5"/>
      <c r="X39" s="5"/>
      <c r="Y39" s="5"/>
      <c r="Z39" s="6"/>
    </row>
    <row r="40" spans="1:26">
      <c r="A40" s="19" t="s">
        <v>38</v>
      </c>
      <c r="B40" s="29">
        <v>46204</v>
      </c>
      <c r="C40" s="20"/>
      <c r="D40" s="20"/>
      <c r="E40" s="20">
        <v>68.099999999999994</v>
      </c>
      <c r="F40" s="20">
        <v>113</v>
      </c>
      <c r="G40" s="20">
        <v>81</v>
      </c>
      <c r="H40" s="18">
        <f>IF(OR(A40="",E40="",F40="",G40=""),"",(G40-E40)*113/F40)</f>
        <v>12.900000000000006</v>
      </c>
      <c r="I40" s="5"/>
      <c r="J40" s="5"/>
      <c r="K40" s="5"/>
      <c r="L40" s="5"/>
      <c r="M40" s="5"/>
      <c r="N40" s="5"/>
      <c r="O40" s="5"/>
      <c r="P40" s="5"/>
      <c r="Q40" s="5"/>
      <c r="R40" s="5"/>
      <c r="S40" s="5"/>
      <c r="T40" s="5"/>
      <c r="U40" s="5"/>
      <c r="V40" s="5"/>
      <c r="W40" s="5"/>
      <c r="X40" s="5"/>
      <c r="Y40" s="5"/>
      <c r="Z40" s="6"/>
    </row>
    <row r="41" spans="1:26">
      <c r="A41" s="19" t="s">
        <v>32</v>
      </c>
      <c r="B41" s="29">
        <v>46204</v>
      </c>
      <c r="C41" s="20"/>
      <c r="D41" s="20"/>
      <c r="E41" s="20">
        <v>72.7</v>
      </c>
      <c r="F41" s="20">
        <v>134</v>
      </c>
      <c r="G41" s="20">
        <v>78</v>
      </c>
      <c r="H41" s="18">
        <f>IF(OR(A41="",E41="",F41="",G41=""),"",(G41-E41)*113/F41)</f>
        <v>4.4694029850746242</v>
      </c>
      <c r="I41" s="5"/>
      <c r="J41" s="5"/>
      <c r="K41" s="5"/>
      <c r="L41" s="5"/>
      <c r="M41" s="5"/>
      <c r="N41" s="5"/>
      <c r="O41" s="5"/>
      <c r="P41" s="5"/>
      <c r="Q41" s="5"/>
      <c r="R41" s="5"/>
      <c r="S41" s="5"/>
      <c r="T41" s="5"/>
      <c r="U41" s="5"/>
      <c r="V41" s="5"/>
      <c r="W41" s="5"/>
      <c r="X41" s="5"/>
      <c r="Y41" s="5"/>
      <c r="Z41" s="6"/>
    </row>
    <row r="42" spans="1:26">
      <c r="A42" s="19" t="s">
        <v>39</v>
      </c>
      <c r="B42" s="29">
        <v>46204</v>
      </c>
      <c r="C42" s="20"/>
      <c r="D42" s="20"/>
      <c r="E42" s="20">
        <v>74</v>
      </c>
      <c r="F42" s="20">
        <v>141</v>
      </c>
      <c r="G42" s="20">
        <v>82</v>
      </c>
      <c r="H42" s="18">
        <f>IF(OR(A42="",E42="",F42="",G42=""),"",(G42-E42)*113/F42)</f>
        <v>6.4113475177304968</v>
      </c>
      <c r="I42" s="5"/>
      <c r="J42" s="5"/>
      <c r="K42" s="5"/>
      <c r="L42" s="5"/>
      <c r="M42" s="5"/>
      <c r="N42" s="5"/>
      <c r="O42" s="5"/>
      <c r="P42" s="5"/>
      <c r="Q42" s="5"/>
      <c r="R42" s="5"/>
      <c r="S42" s="5"/>
      <c r="T42" s="5"/>
      <c r="U42" s="5"/>
      <c r="V42" s="5"/>
      <c r="W42" s="5"/>
      <c r="X42" s="5"/>
      <c r="Y42" s="5"/>
      <c r="Z42" s="6"/>
    </row>
    <row r="43" spans="1:26">
      <c r="A43" s="19" t="s">
        <v>39</v>
      </c>
      <c r="B43" s="29">
        <v>46204</v>
      </c>
      <c r="C43" s="20"/>
      <c r="D43" s="20"/>
      <c r="E43" s="20">
        <v>71.3</v>
      </c>
      <c r="F43" s="20">
        <v>135</v>
      </c>
      <c r="G43" s="20">
        <v>81</v>
      </c>
      <c r="H43" s="18">
        <f>IF(OR(A43="",E43="",F43="",G43=""),"",(G43-E43)*113/F43)</f>
        <v>8.1192592592592625</v>
      </c>
      <c r="I43" s="5"/>
      <c r="J43" s="5"/>
      <c r="K43" s="5"/>
      <c r="L43" s="5"/>
      <c r="M43" s="5"/>
      <c r="N43" s="5"/>
      <c r="O43" s="5"/>
      <c r="P43" s="5"/>
      <c r="Q43" s="5"/>
      <c r="R43" s="5"/>
      <c r="S43" s="5"/>
      <c r="T43" s="5"/>
      <c r="U43" s="5"/>
      <c r="V43" s="5"/>
      <c r="W43" s="5"/>
      <c r="X43" s="5"/>
      <c r="Y43" s="5"/>
      <c r="Z43" s="6"/>
    </row>
    <row r="44" spans="1:26">
      <c r="A44" s="19" t="s">
        <v>39</v>
      </c>
      <c r="B44" s="29">
        <v>46204</v>
      </c>
      <c r="C44" s="20"/>
      <c r="D44" s="20"/>
      <c r="E44" s="20">
        <v>71.900000000000006</v>
      </c>
      <c r="F44" s="20">
        <v>137</v>
      </c>
      <c r="G44" s="20">
        <v>85</v>
      </c>
      <c r="H44" s="18">
        <f>IF(OR(A44="",E44="",F44="",G44=""),"",(G44-E44)*113/F44)</f>
        <v>10.805109489051089</v>
      </c>
      <c r="I44" s="5"/>
      <c r="J44" s="5"/>
      <c r="K44" s="5"/>
      <c r="L44" s="5"/>
      <c r="M44" s="5"/>
      <c r="N44" s="5"/>
      <c r="O44" s="5"/>
      <c r="P44" s="5"/>
      <c r="Q44" s="5"/>
      <c r="R44" s="5"/>
      <c r="S44" s="5"/>
      <c r="T44" s="5"/>
      <c r="U44" s="5"/>
      <c r="V44" s="5"/>
      <c r="W44" s="5"/>
      <c r="X44" s="5"/>
      <c r="Y44" s="5"/>
      <c r="Z44" s="6"/>
    </row>
    <row r="45" spans="1:26">
      <c r="A45" s="19" t="s">
        <v>39</v>
      </c>
      <c r="B45" s="29">
        <v>46204</v>
      </c>
      <c r="C45" s="20"/>
      <c r="D45" s="20"/>
      <c r="E45" s="20">
        <v>70.400000000000006</v>
      </c>
      <c r="F45" s="20">
        <v>134</v>
      </c>
      <c r="G45" s="20">
        <v>85</v>
      </c>
      <c r="H45" s="18">
        <f>IF(OR(A45="",E45="",F45="",G45=""),"",(G45-E45)*113/F45)</f>
        <v>12.311940298507457</v>
      </c>
      <c r="I45" s="5"/>
      <c r="J45" s="5"/>
      <c r="K45" s="5"/>
      <c r="L45" s="5"/>
      <c r="M45" s="5"/>
      <c r="N45" s="5"/>
      <c r="O45" s="5"/>
      <c r="P45" s="5"/>
      <c r="Q45" s="5"/>
      <c r="R45" s="5"/>
      <c r="S45" s="5"/>
      <c r="T45" s="5"/>
      <c r="U45" s="5"/>
      <c r="V45" s="5"/>
      <c r="W45" s="5"/>
      <c r="X45" s="5"/>
      <c r="Y45" s="5"/>
      <c r="Z45" s="6"/>
    </row>
    <row r="46" spans="1:26">
      <c r="A46" s="19" t="s">
        <v>28</v>
      </c>
      <c r="B46" s="29">
        <v>46204</v>
      </c>
      <c r="C46" s="20"/>
      <c r="D46" s="20"/>
      <c r="E46" s="20">
        <v>69</v>
      </c>
      <c r="F46" s="20">
        <v>124</v>
      </c>
      <c r="G46" s="20">
        <v>88</v>
      </c>
      <c r="H46" s="18">
        <f>IF(OR(A46="",E46="",F46="",G46=""),"",(G46-E46)*113/F46)</f>
        <v>17.31451612903226</v>
      </c>
      <c r="I46" s="5"/>
      <c r="J46" s="5"/>
      <c r="K46" s="5"/>
      <c r="L46" s="5"/>
      <c r="M46" s="5"/>
      <c r="N46" s="5"/>
      <c r="O46" s="5"/>
      <c r="P46" s="5"/>
      <c r="Q46" s="5"/>
      <c r="R46" s="5"/>
      <c r="S46" s="5"/>
      <c r="T46" s="5"/>
      <c r="U46" s="5"/>
      <c r="V46" s="5"/>
      <c r="W46" s="5"/>
      <c r="X46" s="5"/>
      <c r="Y46" s="5"/>
      <c r="Z46" s="6"/>
    </row>
    <row r="47" spans="1:26">
      <c r="A47" s="19" t="s">
        <v>40</v>
      </c>
      <c r="B47" s="29">
        <v>46204</v>
      </c>
      <c r="C47" s="20"/>
      <c r="D47" s="20"/>
      <c r="E47" s="20">
        <v>72.7</v>
      </c>
      <c r="F47" s="20">
        <v>134</v>
      </c>
      <c r="G47" s="20">
        <v>94</v>
      </c>
      <c r="H47" s="18">
        <f>IF(OR(A47="",E47="",F47="",G47=""),"",(G47-E47)*113/F47)</f>
        <v>17.961940298507461</v>
      </c>
      <c r="I47" s="5"/>
      <c r="J47" s="5"/>
      <c r="K47" s="5"/>
      <c r="L47" s="5"/>
      <c r="M47" s="5"/>
      <c r="N47" s="5"/>
      <c r="O47" s="5"/>
      <c r="P47" s="5"/>
      <c r="Q47" s="5"/>
      <c r="R47" s="5"/>
      <c r="S47" s="5"/>
      <c r="T47" s="5"/>
      <c r="U47" s="5"/>
      <c r="V47" s="5"/>
      <c r="W47" s="5"/>
      <c r="X47" s="5"/>
      <c r="Y47" s="5"/>
      <c r="Z47" s="6"/>
    </row>
    <row r="48" spans="1:26">
      <c r="A48" s="19" t="s">
        <v>40</v>
      </c>
      <c r="B48" s="29">
        <v>46204</v>
      </c>
      <c r="C48" s="20"/>
      <c r="D48" s="20"/>
      <c r="E48" s="20">
        <v>72.7</v>
      </c>
      <c r="F48" s="20">
        <v>134</v>
      </c>
      <c r="G48" s="20">
        <v>90</v>
      </c>
      <c r="H48" s="18">
        <f>IF(OR(A48="",E48="",F48="",G48=""),"",(G48-E48)*113/F48)</f>
        <v>14.588805970149251</v>
      </c>
      <c r="I48" s="5"/>
      <c r="J48" s="5"/>
      <c r="K48" s="5"/>
      <c r="L48" s="5"/>
      <c r="M48" s="5"/>
      <c r="N48" s="5"/>
      <c r="O48" s="5"/>
      <c r="P48" s="5"/>
      <c r="Q48" s="5"/>
      <c r="R48" s="5"/>
      <c r="S48" s="5"/>
      <c r="T48" s="5"/>
      <c r="U48" s="5"/>
      <c r="V48" s="5"/>
      <c r="W48" s="5"/>
      <c r="X48" s="5"/>
      <c r="Y48" s="5"/>
      <c r="Z48" s="6"/>
    </row>
    <row r="49" spans="1:26">
      <c r="A49" s="19" t="s">
        <v>40</v>
      </c>
      <c r="B49" s="29">
        <v>46204</v>
      </c>
      <c r="C49" s="20"/>
      <c r="D49" s="20"/>
      <c r="E49" s="20">
        <v>72.7</v>
      </c>
      <c r="F49" s="20">
        <v>134</v>
      </c>
      <c r="G49" s="20">
        <v>97</v>
      </c>
      <c r="H49" s="18">
        <f>IF(OR(A49="",E49="",F49="",G49=""),"",(G49-E49)*113/F49)</f>
        <v>20.491791044776118</v>
      </c>
      <c r="I49" s="5"/>
      <c r="J49" s="5"/>
      <c r="K49" s="5"/>
      <c r="L49" s="5"/>
      <c r="M49" s="5"/>
      <c r="N49" s="5"/>
      <c r="O49" s="5"/>
      <c r="P49" s="5"/>
      <c r="Q49" s="5"/>
      <c r="R49" s="5"/>
      <c r="S49" s="5"/>
      <c r="T49" s="5"/>
      <c r="U49" s="5"/>
      <c r="V49" s="5"/>
      <c r="W49" s="5"/>
      <c r="X49" s="5"/>
      <c r="Y49" s="5"/>
      <c r="Z49" s="6"/>
    </row>
    <row r="50" spans="1:26">
      <c r="A50" s="19" t="s">
        <v>40</v>
      </c>
      <c r="B50" s="29">
        <v>46204</v>
      </c>
      <c r="C50" s="20"/>
      <c r="D50" s="20"/>
      <c r="E50" s="20">
        <v>72.7</v>
      </c>
      <c r="F50" s="20">
        <v>134</v>
      </c>
      <c r="G50" s="20">
        <v>92</v>
      </c>
      <c r="H50" s="18">
        <f>IF(OR(A50="",E50="",F50="",G50=""),"",(G50-E50)*113/F50)</f>
        <v>16.275373134328355</v>
      </c>
      <c r="I50" s="5"/>
      <c r="J50" s="5"/>
      <c r="K50" s="5"/>
      <c r="L50" s="5"/>
      <c r="M50" s="5"/>
      <c r="N50" s="5"/>
      <c r="O50" s="5"/>
      <c r="P50" s="5"/>
      <c r="Q50" s="5"/>
      <c r="R50" s="5"/>
      <c r="S50" s="5"/>
      <c r="T50" s="5"/>
      <c r="U50" s="5"/>
      <c r="V50" s="5"/>
      <c r="W50" s="5"/>
      <c r="X50" s="5"/>
      <c r="Y50" s="5"/>
      <c r="Z50" s="6"/>
    </row>
    <row r="51" spans="1:26">
      <c r="A51" s="19" t="s">
        <v>40</v>
      </c>
      <c r="B51" s="29">
        <v>46204</v>
      </c>
      <c r="C51" s="20"/>
      <c r="D51" s="20"/>
      <c r="E51" s="20">
        <v>72.7</v>
      </c>
      <c r="F51" s="20">
        <v>134</v>
      </c>
      <c r="G51" s="20">
        <v>98</v>
      </c>
      <c r="H51" s="18">
        <f>IF(OR(A51="",E51="",F51="",G51=""),"",(G51-E51)*113/F51)</f>
        <v>21.335074626865669</v>
      </c>
      <c r="I51" s="5"/>
      <c r="J51" s="5"/>
      <c r="K51" s="5"/>
      <c r="L51" s="5"/>
      <c r="M51" s="5"/>
      <c r="N51" s="5"/>
      <c r="O51" s="5"/>
      <c r="P51" s="5"/>
      <c r="Q51" s="5"/>
      <c r="R51" s="5"/>
      <c r="S51" s="5"/>
      <c r="T51" s="5"/>
      <c r="U51" s="5"/>
      <c r="V51" s="5"/>
      <c r="W51" s="5"/>
      <c r="X51" s="5"/>
      <c r="Y51" s="5"/>
      <c r="Z51" s="6"/>
    </row>
    <row r="52" spans="1:26">
      <c r="A52" s="19" t="s">
        <v>33</v>
      </c>
      <c r="B52" s="29">
        <v>46204</v>
      </c>
      <c r="C52" s="20"/>
      <c r="D52" s="20"/>
      <c r="E52" s="20">
        <v>71.099999999999994</v>
      </c>
      <c r="F52" s="20">
        <v>126</v>
      </c>
      <c r="G52" s="20">
        <v>83</v>
      </c>
      <c r="H52" s="18">
        <f>IF(OR(A52="",E52="",F52="",G52=""),"",(G52-E52)*113/F52)</f>
        <v>10.672222222222228</v>
      </c>
      <c r="I52" s="5"/>
      <c r="J52" s="5"/>
      <c r="K52" s="5"/>
      <c r="L52" s="5"/>
      <c r="M52" s="5"/>
      <c r="N52" s="5"/>
      <c r="O52" s="5"/>
      <c r="P52" s="5"/>
      <c r="Q52" s="5"/>
      <c r="R52" s="5"/>
      <c r="S52" s="5"/>
      <c r="T52" s="5"/>
      <c r="U52" s="5"/>
      <c r="V52" s="5"/>
      <c r="W52" s="5"/>
      <c r="X52" s="5"/>
      <c r="Y52" s="5"/>
      <c r="Z52" s="6"/>
    </row>
    <row r="53" spans="1:26">
      <c r="A53" s="19" t="s">
        <v>33</v>
      </c>
      <c r="B53" s="29">
        <v>46204</v>
      </c>
      <c r="C53" s="20"/>
      <c r="D53" s="20"/>
      <c r="E53" s="20">
        <v>71.400000000000006</v>
      </c>
      <c r="F53" s="20">
        <v>130</v>
      </c>
      <c r="G53" s="20">
        <v>89</v>
      </c>
      <c r="H53" s="18">
        <f>IF(OR(A53="",E53="",F53="",G53=""),"",(G53-E53)*113/F53)</f>
        <v>15.298461538461533</v>
      </c>
      <c r="I53" s="5"/>
      <c r="J53" s="5"/>
      <c r="K53" s="5"/>
      <c r="L53" s="5"/>
      <c r="M53" s="5"/>
      <c r="N53" s="5"/>
      <c r="O53" s="5"/>
      <c r="P53" s="5"/>
      <c r="Q53" s="5"/>
      <c r="R53" s="5"/>
      <c r="S53" s="5"/>
      <c r="T53" s="5"/>
      <c r="U53" s="5"/>
      <c r="V53" s="5"/>
      <c r="W53" s="5"/>
      <c r="X53" s="5"/>
      <c r="Y53" s="5"/>
      <c r="Z53" s="6"/>
    </row>
    <row r="54" spans="1:26">
      <c r="A54" s="19" t="s">
        <v>33</v>
      </c>
      <c r="B54" s="29">
        <v>46204</v>
      </c>
      <c r="C54" s="20"/>
      <c r="D54" s="20"/>
      <c r="E54" s="20">
        <v>70.3</v>
      </c>
      <c r="F54" s="20">
        <v>130</v>
      </c>
      <c r="G54" s="20">
        <v>80</v>
      </c>
      <c r="H54" s="18">
        <f>IF(OR(A54="",E54="",F54="",G54=""),"",(G54-E54)*113/F54)</f>
        <v>8.4315384615384641</v>
      </c>
      <c r="I54" s="5"/>
      <c r="J54" s="5"/>
      <c r="K54" s="5"/>
      <c r="L54" s="5"/>
      <c r="M54" s="5"/>
      <c r="N54" s="5"/>
      <c r="O54" s="5"/>
      <c r="P54" s="5"/>
      <c r="Q54" s="5"/>
      <c r="R54" s="5"/>
      <c r="S54" s="5"/>
      <c r="T54" s="5"/>
      <c r="U54" s="5"/>
      <c r="V54" s="5"/>
      <c r="W54" s="5"/>
      <c r="X54" s="5"/>
      <c r="Y54" s="5"/>
      <c r="Z54" s="6"/>
    </row>
    <row r="55" spans="1:26">
      <c r="A55" s="19" t="s">
        <v>29</v>
      </c>
      <c r="B55" s="29">
        <v>46204</v>
      </c>
      <c r="C55" s="20"/>
      <c r="D55" s="20"/>
      <c r="E55" s="20">
        <v>69.400000000000006</v>
      </c>
      <c r="F55" s="20">
        <v>134</v>
      </c>
      <c r="G55" s="20">
        <v>86</v>
      </c>
      <c r="H55" s="18">
        <f>IF(OR(A55="",E55="",F55="",G55=""),"",(G55-E55)*113/F55)</f>
        <v>13.998507462686561</v>
      </c>
      <c r="I55" s="5"/>
      <c r="J55" s="5"/>
      <c r="K55" s="5"/>
      <c r="L55" s="5"/>
      <c r="M55" s="5"/>
      <c r="N55" s="5"/>
      <c r="O55" s="5"/>
      <c r="P55" s="5"/>
      <c r="Q55" s="5"/>
      <c r="R55" s="5"/>
      <c r="S55" s="5"/>
      <c r="T55" s="5"/>
      <c r="U55" s="5"/>
      <c r="V55" s="5"/>
      <c r="W55" s="5"/>
      <c r="X55" s="5"/>
      <c r="Y55" s="5"/>
      <c r="Z55" s="6"/>
    </row>
    <row r="56" spans="1:26">
      <c r="A56" s="19" t="s">
        <v>29</v>
      </c>
      <c r="B56" s="29">
        <v>46204</v>
      </c>
      <c r="C56" s="20"/>
      <c r="D56" s="20"/>
      <c r="E56" s="20">
        <v>68.099999999999994</v>
      </c>
      <c r="F56" s="20">
        <v>113</v>
      </c>
      <c r="G56" s="20">
        <v>81</v>
      </c>
      <c r="H56" s="18">
        <f>IF(OR(A56="",E56="",F56="",G56=""),"",(G56-E56)*113/F56)</f>
        <v>12.900000000000006</v>
      </c>
      <c r="I56" s="5"/>
      <c r="J56" s="5"/>
      <c r="K56" s="5"/>
      <c r="L56" s="5"/>
      <c r="M56" s="5"/>
      <c r="N56" s="5"/>
      <c r="O56" s="5"/>
      <c r="P56" s="5"/>
      <c r="Q56" s="5"/>
      <c r="R56" s="5"/>
      <c r="S56" s="5"/>
      <c r="T56" s="5"/>
      <c r="U56" s="5"/>
      <c r="V56" s="5"/>
      <c r="W56" s="5"/>
      <c r="X56" s="5"/>
      <c r="Y56" s="5"/>
      <c r="Z56" s="6"/>
    </row>
    <row r="57" spans="1:26">
      <c r="A57" s="19" t="s">
        <v>27</v>
      </c>
      <c r="B57" s="29">
        <v>46204</v>
      </c>
      <c r="C57" s="20"/>
      <c r="D57" s="20"/>
      <c r="E57" s="20">
        <v>71.599999999999994</v>
      </c>
      <c r="F57" s="20">
        <v>122</v>
      </c>
      <c r="G57" s="20">
        <v>97</v>
      </c>
      <c r="H57" s="18">
        <f>IF(OR(A57="",E57="",F57="",G57=""),"",(G57-E57)*113/F57)</f>
        <v>23.526229508196728</v>
      </c>
      <c r="I57" s="5"/>
      <c r="J57" s="5"/>
      <c r="K57" s="5"/>
      <c r="L57" s="5"/>
      <c r="M57" s="5"/>
      <c r="N57" s="5"/>
      <c r="O57" s="5"/>
      <c r="P57" s="5"/>
      <c r="Q57" s="5"/>
      <c r="R57" s="5"/>
      <c r="S57" s="5"/>
      <c r="T57" s="5"/>
      <c r="U57" s="5"/>
      <c r="V57" s="5"/>
      <c r="W57" s="5"/>
      <c r="X57" s="5"/>
      <c r="Y57" s="5"/>
      <c r="Z57" s="6"/>
    </row>
    <row r="58" spans="1:26">
      <c r="A58" s="19" t="s">
        <v>37</v>
      </c>
      <c r="B58" s="29">
        <v>46235</v>
      </c>
      <c r="C58" s="20"/>
      <c r="D58" s="20"/>
      <c r="E58" s="20">
        <v>72.2</v>
      </c>
      <c r="F58" s="20">
        <v>135</v>
      </c>
      <c r="G58" s="20">
        <v>103</v>
      </c>
      <c r="H58" s="18">
        <f>IF(OR(A58="",E58="",F58="",G58=""),"",(G58-E58)*113/F58)</f>
        <v>25.78074074074074</v>
      </c>
      <c r="I58" s="5"/>
      <c r="J58" s="5"/>
      <c r="K58" s="5"/>
      <c r="L58" s="5"/>
      <c r="M58" s="5"/>
      <c r="N58" s="5"/>
      <c r="O58" s="5"/>
      <c r="P58" s="5"/>
      <c r="Q58" s="5"/>
      <c r="R58" s="5"/>
      <c r="S58" s="5"/>
      <c r="T58" s="5"/>
      <c r="U58" s="5"/>
      <c r="V58" s="5"/>
      <c r="W58" s="5"/>
      <c r="X58" s="5"/>
      <c r="Y58" s="5"/>
      <c r="Z58" s="6"/>
    </row>
    <row r="59" spans="1:26">
      <c r="A59" s="19" t="s">
        <v>37</v>
      </c>
      <c r="B59" s="29">
        <v>46235</v>
      </c>
      <c r="C59" s="20"/>
      <c r="D59" s="20"/>
      <c r="E59" s="20">
        <v>72.2</v>
      </c>
      <c r="F59" s="20">
        <v>135</v>
      </c>
      <c r="G59" s="20">
        <v>97</v>
      </c>
      <c r="H59" s="18">
        <f>IF(OR(A59="",E59="",F59="",G59=""),"",(G59-E59)*113/F59)</f>
        <v>20.758518518518517</v>
      </c>
      <c r="I59" s="5"/>
      <c r="J59" s="5"/>
      <c r="K59" s="5"/>
      <c r="L59" s="5"/>
      <c r="M59" s="5"/>
      <c r="N59" s="5"/>
      <c r="O59" s="5"/>
      <c r="P59" s="5"/>
      <c r="Q59" s="5"/>
      <c r="R59" s="5"/>
      <c r="S59" s="5"/>
      <c r="T59" s="5"/>
      <c r="U59" s="5"/>
      <c r="V59" s="5"/>
      <c r="W59" s="5"/>
      <c r="X59" s="5"/>
      <c r="Y59" s="5"/>
      <c r="Z59" s="6"/>
    </row>
    <row r="60" spans="1:26">
      <c r="A60" s="19" t="s">
        <v>37</v>
      </c>
      <c r="B60" s="29">
        <v>46235</v>
      </c>
      <c r="C60" s="20"/>
      <c r="D60" s="20"/>
      <c r="E60" s="20">
        <v>71.5</v>
      </c>
      <c r="F60" s="20">
        <v>139</v>
      </c>
      <c r="G60" s="20">
        <v>96</v>
      </c>
      <c r="H60" s="18">
        <f>IF(OR(A60="",E60="",F60="",G60=""),"",(G60-E60)*113/F60)</f>
        <v>19.917266187050359</v>
      </c>
      <c r="I60" s="5"/>
      <c r="J60" s="5"/>
      <c r="K60" s="5"/>
      <c r="L60" s="5"/>
      <c r="M60" s="5"/>
      <c r="N60" s="5"/>
      <c r="O60" s="5"/>
      <c r="P60" s="5"/>
      <c r="Q60" s="5"/>
      <c r="R60" s="5"/>
      <c r="S60" s="5"/>
      <c r="T60" s="5"/>
      <c r="U60" s="5"/>
      <c r="V60" s="5"/>
      <c r="W60" s="5"/>
      <c r="X60" s="5"/>
      <c r="Y60" s="5"/>
      <c r="Z60" s="6"/>
    </row>
    <row r="61" spans="1:26">
      <c r="A61" s="19" t="s">
        <v>40</v>
      </c>
      <c r="B61" s="29">
        <v>46235</v>
      </c>
      <c r="C61" s="20"/>
      <c r="D61" s="20"/>
      <c r="E61" s="20">
        <v>73.099999999999994</v>
      </c>
      <c r="F61" s="20">
        <v>139</v>
      </c>
      <c r="G61" s="20">
        <v>96</v>
      </c>
      <c r="H61" s="18">
        <f>IF(OR(A61="",E61="",F61="",G61=""),"",(G61-E61)*113/F61)</f>
        <v>18.616546762589934</v>
      </c>
      <c r="I61" s="5"/>
      <c r="J61" s="5"/>
      <c r="K61" s="5"/>
      <c r="L61" s="5"/>
      <c r="M61" s="5"/>
      <c r="N61" s="5"/>
      <c r="O61" s="5"/>
      <c r="P61" s="5"/>
      <c r="Q61" s="5"/>
      <c r="R61" s="5"/>
      <c r="S61" s="5"/>
      <c r="T61" s="5"/>
      <c r="U61" s="5"/>
      <c r="V61" s="5"/>
      <c r="W61" s="5"/>
      <c r="X61" s="5"/>
      <c r="Y61" s="5"/>
      <c r="Z61" s="6"/>
    </row>
    <row r="62" spans="1:26">
      <c r="A62" s="19" t="s">
        <v>26</v>
      </c>
      <c r="B62" s="29">
        <v>46235</v>
      </c>
      <c r="C62" s="20"/>
      <c r="D62" s="20"/>
      <c r="E62" s="20">
        <v>73.5</v>
      </c>
      <c r="F62" s="20">
        <v>143</v>
      </c>
      <c r="G62" s="20">
        <v>96</v>
      </c>
      <c r="H62" s="18">
        <f>IF(OR(A62="",E62="",F62="",G62=""),"",(G62-E62)*113/F62)</f>
        <v>17.77972027972028</v>
      </c>
      <c r="I62" s="5"/>
      <c r="J62" s="5"/>
      <c r="K62" s="5"/>
      <c r="L62" s="5"/>
      <c r="M62" s="5"/>
      <c r="N62" s="5"/>
      <c r="O62" s="5"/>
      <c r="P62" s="5"/>
      <c r="Q62" s="5"/>
      <c r="R62" s="5"/>
      <c r="S62" s="5"/>
      <c r="T62" s="5"/>
      <c r="U62" s="5"/>
      <c r="V62" s="5"/>
      <c r="W62" s="5"/>
      <c r="X62" s="5"/>
      <c r="Y62" s="5"/>
      <c r="Z62" s="6"/>
    </row>
    <row r="63" spans="1:26">
      <c r="A63" s="19" t="s">
        <v>26</v>
      </c>
      <c r="B63" s="29">
        <v>46235</v>
      </c>
      <c r="C63" s="20"/>
      <c r="D63" s="20"/>
      <c r="E63" s="20">
        <v>70.8</v>
      </c>
      <c r="F63" s="20">
        <v>135</v>
      </c>
      <c r="G63" s="20">
        <v>98</v>
      </c>
      <c r="H63" s="18">
        <f>IF(OR(A63="",E63="",F63="",G63=""),"",(G63-E63)*113/F63)</f>
        <v>22.767407407407411</v>
      </c>
      <c r="I63" s="5"/>
      <c r="J63" s="5"/>
      <c r="K63" s="5"/>
      <c r="L63" s="5"/>
      <c r="M63" s="5"/>
      <c r="N63" s="5"/>
      <c r="O63" s="5"/>
      <c r="P63" s="5"/>
      <c r="Q63" s="5"/>
      <c r="R63" s="5"/>
      <c r="S63" s="5"/>
      <c r="T63" s="5"/>
      <c r="U63" s="5"/>
      <c r="V63" s="5"/>
      <c r="W63" s="5"/>
      <c r="X63" s="5"/>
      <c r="Y63" s="5"/>
      <c r="Z63" s="6"/>
    </row>
    <row r="64" spans="1:26">
      <c r="A64" s="19" t="s">
        <v>28</v>
      </c>
      <c r="B64" s="29">
        <v>46235</v>
      </c>
      <c r="C64" s="20"/>
      <c r="D64" s="20"/>
      <c r="E64" s="20">
        <v>70.5</v>
      </c>
      <c r="F64" s="20">
        <v>118</v>
      </c>
      <c r="G64" s="20">
        <v>88</v>
      </c>
      <c r="H64" s="18">
        <f>IF(OR(A64="",E64="",F64="",G64=""),"",(G64-E64)*113/F64)</f>
        <v>16.758474576271187</v>
      </c>
      <c r="I64" s="5"/>
      <c r="J64" s="5"/>
      <c r="K64" s="5"/>
      <c r="L64" s="5"/>
      <c r="M64" s="5"/>
      <c r="N64" s="5"/>
      <c r="O64" s="5"/>
      <c r="P64" s="5"/>
      <c r="Q64" s="5"/>
      <c r="R64" s="5"/>
      <c r="S64" s="5"/>
      <c r="T64" s="5"/>
      <c r="U64" s="5"/>
      <c r="V64" s="5"/>
      <c r="W64" s="5"/>
      <c r="X64" s="5"/>
      <c r="Y64" s="5"/>
      <c r="Z64" s="6"/>
    </row>
    <row r="65" spans="1:26">
      <c r="A65" s="19" t="s">
        <v>29</v>
      </c>
      <c r="B65" s="29">
        <v>46235</v>
      </c>
      <c r="C65" s="20"/>
      <c r="D65" s="20"/>
      <c r="E65" s="20">
        <v>70</v>
      </c>
      <c r="F65" s="20">
        <v>143</v>
      </c>
      <c r="G65" s="20">
        <v>86</v>
      </c>
      <c r="H65" s="18">
        <f>IF(OR(A65="",E65="",F65="",G65=""),"",(G65-E65)*113/F65)</f>
        <v>12.643356643356643</v>
      </c>
      <c r="I65" s="5"/>
      <c r="J65" s="5"/>
      <c r="K65" s="5"/>
      <c r="L65" s="5"/>
      <c r="M65" s="5"/>
      <c r="N65" s="5"/>
      <c r="O65" s="5"/>
      <c r="P65" s="5"/>
      <c r="Q65" s="5"/>
      <c r="R65" s="5"/>
      <c r="S65" s="5"/>
      <c r="T65" s="5"/>
      <c r="U65" s="5"/>
      <c r="V65" s="5"/>
      <c r="W65" s="5"/>
      <c r="X65" s="5"/>
      <c r="Y65" s="5"/>
      <c r="Z65" s="6"/>
    </row>
    <row r="66" spans="1:26">
      <c r="A66" s="19" t="s">
        <v>29</v>
      </c>
      <c r="B66" s="29">
        <v>46235</v>
      </c>
      <c r="C66" s="20"/>
      <c r="D66" s="20"/>
      <c r="E66" s="20">
        <v>70.900000000000006</v>
      </c>
      <c r="F66" s="20">
        <v>134</v>
      </c>
      <c r="G66" s="20">
        <v>89</v>
      </c>
      <c r="H66" s="18">
        <f>IF(OR(A66="",E66="",F66="",G66=""),"",(G66-E66)*113/F66)</f>
        <v>15.26343283582089</v>
      </c>
      <c r="I66" s="5"/>
      <c r="J66" s="5"/>
      <c r="K66" s="5"/>
      <c r="L66" s="5"/>
      <c r="M66" s="5"/>
      <c r="N66" s="5"/>
      <c r="O66" s="5"/>
      <c r="P66" s="5"/>
      <c r="Q66" s="5"/>
      <c r="R66" s="5"/>
      <c r="S66" s="5"/>
      <c r="T66" s="5"/>
      <c r="U66" s="5"/>
      <c r="V66" s="5"/>
      <c r="W66" s="5"/>
      <c r="X66" s="5"/>
      <c r="Y66" s="5"/>
      <c r="Z66" s="6"/>
    </row>
    <row r="67" spans="1:26">
      <c r="A67" s="19" t="s">
        <v>36</v>
      </c>
      <c r="B67" s="29">
        <v>46235</v>
      </c>
      <c r="C67" s="20"/>
      <c r="D67" s="20"/>
      <c r="E67" s="20">
        <v>70.900000000000006</v>
      </c>
      <c r="F67" s="20">
        <v>134</v>
      </c>
      <c r="G67" s="20">
        <v>92</v>
      </c>
      <c r="H67" s="18">
        <f>IF(OR(A67="",E67="",F67="",G67=""),"",(G67-E67)*113/F67)</f>
        <v>17.793283582089547</v>
      </c>
      <c r="I67" s="5"/>
      <c r="J67" s="5"/>
      <c r="K67" s="5"/>
      <c r="L67" s="5"/>
      <c r="M67" s="5"/>
      <c r="N67" s="5"/>
      <c r="O67" s="5"/>
      <c r="P67" s="5"/>
      <c r="Q67" s="5"/>
      <c r="R67" s="5"/>
      <c r="S67" s="5"/>
      <c r="T67" s="5"/>
      <c r="U67" s="5"/>
      <c r="V67" s="5"/>
      <c r="W67" s="5"/>
      <c r="X67" s="5"/>
      <c r="Y67" s="5"/>
      <c r="Z67" s="6"/>
    </row>
    <row r="68" spans="1:26">
      <c r="A68" s="19" t="s">
        <v>34</v>
      </c>
      <c r="B68" s="29">
        <v>46235</v>
      </c>
      <c r="C68" s="20"/>
      <c r="D68" s="20"/>
      <c r="E68" s="20">
        <v>70.900000000000006</v>
      </c>
      <c r="F68" s="20">
        <v>134</v>
      </c>
      <c r="G68" s="20">
        <v>93</v>
      </c>
      <c r="H68" s="18">
        <f>IF(OR(A68="",E68="",F68="",G68=""),"",(G68-E68)*113/F68)</f>
        <v>18.636567164179098</v>
      </c>
      <c r="I68" s="5"/>
      <c r="J68" s="5"/>
      <c r="K68" s="5"/>
      <c r="L68" s="5"/>
      <c r="M68" s="5"/>
      <c r="N68" s="5"/>
      <c r="O68" s="5"/>
      <c r="P68" s="5"/>
      <c r="Q68" s="5"/>
      <c r="R68" s="5"/>
      <c r="S68" s="5"/>
      <c r="T68" s="5"/>
      <c r="U68" s="5"/>
      <c r="V68" s="5"/>
      <c r="W68" s="5"/>
      <c r="X68" s="5"/>
      <c r="Y68" s="5"/>
      <c r="Z68" s="6"/>
    </row>
    <row r="69" spans="1:26">
      <c r="A69" s="19" t="s">
        <v>41</v>
      </c>
      <c r="B69" s="29">
        <v>46235</v>
      </c>
      <c r="C69" s="20"/>
      <c r="D69" s="20"/>
      <c r="E69" s="20">
        <v>70.900000000000006</v>
      </c>
      <c r="F69" s="20">
        <v>134</v>
      </c>
      <c r="G69" s="20">
        <v>99</v>
      </c>
      <c r="H69" s="18">
        <f>IF(OR(A69="",E69="",F69="",G69=""),"",(G69-E69)*113/F69)</f>
        <v>23.696268656716413</v>
      </c>
      <c r="I69" s="5"/>
      <c r="J69" s="5"/>
      <c r="K69" s="5"/>
      <c r="L69" s="5"/>
      <c r="M69" s="5"/>
      <c r="N69" s="5"/>
      <c r="O69" s="5"/>
      <c r="P69" s="5"/>
      <c r="Q69" s="5"/>
      <c r="R69" s="5"/>
      <c r="S69" s="5"/>
      <c r="T69" s="5"/>
      <c r="U69" s="5"/>
      <c r="V69" s="5"/>
      <c r="W69" s="5"/>
      <c r="X69" s="5"/>
      <c r="Y69" s="5"/>
      <c r="Z69" s="6"/>
    </row>
    <row r="70" spans="1:26">
      <c r="A70" s="19" t="s">
        <v>35</v>
      </c>
      <c r="B70" s="29">
        <v>46235</v>
      </c>
      <c r="C70" s="20"/>
      <c r="D70" s="20"/>
      <c r="E70" s="20">
        <v>70.900000000000006</v>
      </c>
      <c r="F70" s="20">
        <v>134</v>
      </c>
      <c r="G70" s="20">
        <v>74</v>
      </c>
      <c r="H70" s="18">
        <f>IF(OR(A70="",E70="",F70="",G70=""),"",(G70-E70)*113/F70)</f>
        <v>2.6141791044776075</v>
      </c>
      <c r="I70" s="5"/>
      <c r="J70" s="5"/>
      <c r="K70" s="5"/>
      <c r="L70" s="5"/>
      <c r="M70" s="5"/>
      <c r="N70" s="5"/>
      <c r="O70" s="5"/>
      <c r="P70" s="5"/>
      <c r="Q70" s="5"/>
      <c r="R70" s="5"/>
      <c r="S70" s="5"/>
      <c r="T70" s="5"/>
      <c r="U70" s="5"/>
      <c r="V70" s="5"/>
      <c r="W70" s="5"/>
      <c r="X70" s="5"/>
      <c r="Y70" s="5"/>
      <c r="Z70" s="6"/>
    </row>
    <row r="71" spans="1:26">
      <c r="A71" s="19" t="s">
        <v>38</v>
      </c>
      <c r="B71" s="29">
        <v>46235</v>
      </c>
      <c r="C71" s="20"/>
      <c r="D71" s="20"/>
      <c r="E71" s="20">
        <v>71.099999999999994</v>
      </c>
      <c r="F71" s="20">
        <v>126</v>
      </c>
      <c r="G71" s="20">
        <v>79</v>
      </c>
      <c r="H71" s="18">
        <f>IF(OR(A71="",E71="",F71="",G71=""),"",(G71-E71)*113/F71)</f>
        <v>7.0849206349206399</v>
      </c>
      <c r="I71" s="5"/>
      <c r="J71" s="5"/>
      <c r="K71" s="5"/>
      <c r="L71" s="5"/>
      <c r="M71" s="5"/>
      <c r="N71" s="5"/>
      <c r="O71" s="5"/>
      <c r="P71" s="5"/>
      <c r="Q71" s="5"/>
      <c r="R71" s="5"/>
      <c r="S71" s="5"/>
      <c r="T71" s="5"/>
      <c r="U71" s="5"/>
      <c r="V71" s="5"/>
      <c r="W71" s="5"/>
      <c r="X71" s="5"/>
      <c r="Y71" s="5"/>
      <c r="Z71" s="6"/>
    </row>
    <row r="72" spans="1:26">
      <c r="A72" s="19" t="s">
        <v>30</v>
      </c>
      <c r="B72" s="29">
        <v>46235</v>
      </c>
      <c r="C72" s="20"/>
      <c r="D72" s="20"/>
      <c r="E72" s="20">
        <v>71.099999999999994</v>
      </c>
      <c r="F72" s="20">
        <v>126</v>
      </c>
      <c r="G72" s="20">
        <v>96</v>
      </c>
      <c r="H72" s="18">
        <f>IF(OR(A72="",E72="",F72="",G72=""),"",(G72-E72)*113/F72)</f>
        <v>22.330952380952386</v>
      </c>
      <c r="I72" s="5"/>
      <c r="J72" s="5"/>
      <c r="K72" s="5"/>
      <c r="L72" s="5"/>
      <c r="M72" s="5"/>
      <c r="N72" s="5"/>
      <c r="O72" s="5"/>
      <c r="P72" s="5"/>
      <c r="Q72" s="5"/>
      <c r="R72" s="5"/>
      <c r="S72" s="5"/>
      <c r="T72" s="5"/>
      <c r="U72" s="5"/>
      <c r="V72" s="5"/>
      <c r="W72" s="5"/>
      <c r="X72" s="5"/>
      <c r="Y72" s="5"/>
      <c r="Z72" s="6"/>
    </row>
    <row r="73" spans="1:26">
      <c r="A73" s="19" t="s">
        <v>40</v>
      </c>
      <c r="B73" s="29">
        <v>46235</v>
      </c>
      <c r="C73" s="20"/>
      <c r="D73" s="20"/>
      <c r="E73" s="20">
        <v>73.099999999999994</v>
      </c>
      <c r="F73" s="20">
        <v>139</v>
      </c>
      <c r="G73" s="20">
        <v>94</v>
      </c>
      <c r="H73" s="18">
        <f>IF(OR(A73="",E73="",F73="",G73=""),"",(G73-E73)*113/F73)</f>
        <v>16.990647482014392</v>
      </c>
      <c r="I73" s="5"/>
      <c r="J73" s="5"/>
      <c r="K73" s="5"/>
      <c r="L73" s="5"/>
      <c r="M73" s="5"/>
      <c r="N73" s="5"/>
      <c r="O73" s="5"/>
      <c r="P73" s="5"/>
      <c r="Q73" s="5"/>
      <c r="R73" s="5"/>
      <c r="S73" s="5"/>
      <c r="T73" s="5"/>
      <c r="U73" s="5"/>
      <c r="V73" s="5"/>
      <c r="W73" s="5"/>
      <c r="X73" s="5"/>
      <c r="Y73" s="5"/>
      <c r="Z73" s="6"/>
    </row>
    <row r="74" spans="1:26">
      <c r="A74" s="19" t="s">
        <v>35</v>
      </c>
      <c r="B74" s="29">
        <v>46235</v>
      </c>
      <c r="C74" s="20"/>
      <c r="D74" s="20"/>
      <c r="E74" s="20">
        <v>71.900000000000006</v>
      </c>
      <c r="F74" s="20">
        <v>121</v>
      </c>
      <c r="G74" s="20">
        <v>77</v>
      </c>
      <c r="H74" s="18">
        <f>IF(OR(A74="",E74="",F74="",G74=""),"",(G74-E74)*113/F74)</f>
        <v>4.7628099173553666</v>
      </c>
      <c r="I74" s="5"/>
      <c r="J74" s="5"/>
      <c r="K74" s="5"/>
      <c r="L74" s="5"/>
      <c r="M74" s="5"/>
      <c r="N74" s="5"/>
      <c r="O74" s="5"/>
      <c r="P74" s="5"/>
      <c r="Q74" s="5"/>
      <c r="R74" s="5"/>
      <c r="S74" s="5"/>
      <c r="T74" s="5"/>
      <c r="U74" s="5"/>
      <c r="V74" s="5"/>
      <c r="W74" s="5"/>
      <c r="X74" s="5"/>
      <c r="Y74" s="5"/>
      <c r="Z74" s="6"/>
    </row>
    <row r="75" spans="1:26">
      <c r="A75" s="19" t="s">
        <v>35</v>
      </c>
      <c r="B75" s="29">
        <v>46235</v>
      </c>
      <c r="C75" s="20"/>
      <c r="D75" s="20"/>
      <c r="E75" s="20">
        <v>74.400000000000006</v>
      </c>
      <c r="F75" s="20">
        <v>134</v>
      </c>
      <c r="G75" s="20">
        <v>75</v>
      </c>
      <c r="H75" s="18">
        <f>IF(OR(A75="",E75="",F75="",G75=""),"",(G75-E75)*113/F75)</f>
        <v>0.50597014925372652</v>
      </c>
      <c r="I75" s="5"/>
      <c r="J75" s="5"/>
      <c r="K75" s="5"/>
      <c r="L75" s="5"/>
      <c r="M75" s="5"/>
      <c r="N75" s="5"/>
      <c r="O75" s="5"/>
      <c r="P75" s="5"/>
      <c r="Q75" s="5"/>
      <c r="R75" s="5"/>
      <c r="S75" s="5"/>
      <c r="T75" s="5"/>
      <c r="U75" s="5"/>
      <c r="V75" s="5"/>
      <c r="W75" s="5"/>
      <c r="X75" s="5"/>
      <c r="Y75" s="5"/>
      <c r="Z75" s="6"/>
    </row>
    <row r="76" spans="1:26">
      <c r="A76" s="19" t="s">
        <v>35</v>
      </c>
      <c r="B76" s="29">
        <v>46235</v>
      </c>
      <c r="C76" s="20"/>
      <c r="D76" s="20"/>
      <c r="E76" s="20">
        <v>73</v>
      </c>
      <c r="F76" s="20">
        <v>143</v>
      </c>
      <c r="G76" s="20">
        <v>77</v>
      </c>
      <c r="H76" s="18">
        <f>IF(OR(A76="",E76="",F76="",G76=""),"",(G76-E76)*113/F76)</f>
        <v>3.1608391608391608</v>
      </c>
      <c r="I76" s="5"/>
      <c r="J76" s="5"/>
      <c r="K76" s="5"/>
      <c r="L76" s="5"/>
      <c r="M76" s="5"/>
      <c r="N76" s="5"/>
      <c r="O76" s="5"/>
      <c r="P76" s="5"/>
      <c r="Q76" s="5"/>
      <c r="R76" s="5"/>
      <c r="S76" s="5"/>
      <c r="T76" s="5"/>
      <c r="U76" s="5"/>
      <c r="V76" s="5"/>
      <c r="W76" s="5"/>
      <c r="X76" s="5"/>
      <c r="Y76" s="5"/>
      <c r="Z76" s="6"/>
    </row>
    <row r="77" spans="1:26">
      <c r="A77" s="19" t="s">
        <v>30</v>
      </c>
      <c r="B77" s="29">
        <v>46235</v>
      </c>
      <c r="C77" s="20"/>
      <c r="D77" s="20"/>
      <c r="E77" s="20">
        <v>71.400000000000006</v>
      </c>
      <c r="F77" s="20">
        <v>135</v>
      </c>
      <c r="G77" s="20">
        <v>103</v>
      </c>
      <c r="H77" s="18">
        <f>IF(OR(A77="",E77="",F77="",G77=""),"",(G77-E77)*113/F77)</f>
        <v>26.450370370370365</v>
      </c>
      <c r="I77" s="5"/>
      <c r="J77" s="5"/>
      <c r="K77" s="5"/>
      <c r="L77" s="5"/>
      <c r="M77" s="5"/>
      <c r="N77" s="5"/>
      <c r="O77" s="5"/>
      <c r="P77" s="5"/>
      <c r="Q77" s="5"/>
      <c r="R77" s="5"/>
      <c r="S77" s="5"/>
      <c r="T77" s="5"/>
      <c r="U77" s="5"/>
      <c r="V77" s="5"/>
      <c r="W77" s="5"/>
      <c r="X77" s="5"/>
      <c r="Y77" s="5"/>
      <c r="Z77" s="6"/>
    </row>
    <row r="78" spans="1:26">
      <c r="A78" s="19" t="s">
        <v>34</v>
      </c>
      <c r="B78" s="29">
        <v>46235</v>
      </c>
      <c r="C78" s="20"/>
      <c r="D78" s="20"/>
      <c r="E78" s="20">
        <v>68.8</v>
      </c>
      <c r="F78" s="20">
        <v>119</v>
      </c>
      <c r="G78" s="20">
        <v>87</v>
      </c>
      <c r="H78" s="18">
        <f t="shared" ref="H78:H93" si="0">IF(OR(A78="",E78="",F78="",G78=""),"",(G78-E78)*113/F78)</f>
        <v>17.282352941176473</v>
      </c>
      <c r="I78" s="5"/>
      <c r="J78" s="5"/>
      <c r="K78" s="5"/>
      <c r="L78" s="5"/>
      <c r="M78" s="5"/>
      <c r="N78" s="5"/>
      <c r="O78" s="5"/>
      <c r="P78" s="5"/>
      <c r="Q78" s="5"/>
      <c r="R78" s="5"/>
      <c r="S78" s="5"/>
      <c r="T78" s="5"/>
      <c r="U78" s="5"/>
      <c r="V78" s="5"/>
      <c r="W78" s="5"/>
      <c r="X78" s="5"/>
      <c r="Y78" s="5"/>
      <c r="Z78" s="6"/>
    </row>
    <row r="79" spans="1:26">
      <c r="A79" s="19" t="s">
        <v>32</v>
      </c>
      <c r="B79" s="29">
        <v>46235</v>
      </c>
      <c r="C79" s="20"/>
      <c r="D79" s="20"/>
      <c r="E79" s="20">
        <v>70.8</v>
      </c>
      <c r="F79" s="20">
        <v>130</v>
      </c>
      <c r="G79" s="20">
        <v>88</v>
      </c>
      <c r="H79" s="18">
        <f t="shared" si="0"/>
        <v>14.950769230769234</v>
      </c>
      <c r="I79" s="5"/>
      <c r="J79" s="5"/>
      <c r="K79" s="5"/>
      <c r="L79" s="5"/>
      <c r="M79" s="5"/>
      <c r="N79" s="5"/>
      <c r="O79" s="5"/>
      <c r="P79" s="5"/>
      <c r="Q79" s="5"/>
      <c r="R79" s="5"/>
      <c r="S79" s="5"/>
      <c r="T79" s="5"/>
      <c r="U79" s="5"/>
      <c r="V79" s="5"/>
      <c r="W79" s="5"/>
      <c r="X79" s="5"/>
      <c r="Y79" s="5"/>
      <c r="Z79" s="6"/>
    </row>
    <row r="80" spans="1:26">
      <c r="A80" s="19" t="s">
        <v>40</v>
      </c>
      <c r="B80" s="29">
        <v>46235</v>
      </c>
      <c r="C80" s="20"/>
      <c r="D80" s="20"/>
      <c r="E80" s="20">
        <v>72.7</v>
      </c>
      <c r="F80" s="20">
        <v>134</v>
      </c>
      <c r="G80" s="20">
        <v>95</v>
      </c>
      <c r="H80" s="18">
        <f t="shared" si="0"/>
        <v>18.805223880597012</v>
      </c>
      <c r="I80" s="5"/>
      <c r="J80" s="5"/>
      <c r="K80" s="5"/>
      <c r="L80" s="5"/>
      <c r="M80" s="5"/>
      <c r="N80" s="5"/>
      <c r="O80" s="5"/>
      <c r="P80" s="5"/>
      <c r="Q80" s="5"/>
      <c r="R80" s="5"/>
      <c r="S80" s="5"/>
      <c r="T80" s="5"/>
      <c r="U80" s="5"/>
      <c r="V80" s="5"/>
      <c r="W80" s="5"/>
      <c r="X80" s="5"/>
      <c r="Y80" s="5"/>
      <c r="Z80" s="6"/>
    </row>
    <row r="81" spans="1:26">
      <c r="A81" s="19" t="s">
        <v>40</v>
      </c>
      <c r="B81" s="29">
        <v>46235</v>
      </c>
      <c r="C81" s="20"/>
      <c r="D81" s="20"/>
      <c r="E81" s="20">
        <v>72.7</v>
      </c>
      <c r="F81" s="20">
        <v>134</v>
      </c>
      <c r="G81" s="20">
        <v>90</v>
      </c>
      <c r="H81" s="18">
        <f t="shared" si="0"/>
        <v>14.588805970149251</v>
      </c>
      <c r="I81" s="5"/>
      <c r="J81" s="5"/>
      <c r="K81" s="5"/>
      <c r="L81" s="5"/>
      <c r="M81" s="5"/>
      <c r="N81" s="5"/>
      <c r="O81" s="5"/>
      <c r="P81" s="5"/>
      <c r="Q81" s="5"/>
      <c r="R81" s="5"/>
      <c r="S81" s="5"/>
      <c r="T81" s="5"/>
      <c r="U81" s="5"/>
      <c r="V81" s="5"/>
      <c r="W81" s="5"/>
      <c r="X81" s="5"/>
      <c r="Y81" s="5"/>
      <c r="Z81" s="6"/>
    </row>
    <row r="82" spans="1:26">
      <c r="A82" s="19" t="s">
        <v>39</v>
      </c>
      <c r="B82" s="29">
        <v>46235</v>
      </c>
      <c r="C82" s="20"/>
      <c r="D82" s="20"/>
      <c r="E82" s="20">
        <v>71.599999999999994</v>
      </c>
      <c r="F82" s="20">
        <v>132</v>
      </c>
      <c r="G82" s="20">
        <v>83</v>
      </c>
      <c r="H82" s="18">
        <f t="shared" si="0"/>
        <v>9.759090909090915</v>
      </c>
      <c r="I82" s="5"/>
      <c r="J82" s="5"/>
      <c r="K82" s="5"/>
      <c r="L82" s="5"/>
      <c r="M82" s="5"/>
      <c r="N82" s="5"/>
      <c r="O82" s="5"/>
      <c r="P82" s="5"/>
      <c r="Q82" s="5"/>
      <c r="R82" s="5"/>
      <c r="S82" s="5"/>
      <c r="T82" s="5"/>
      <c r="U82" s="5"/>
      <c r="V82" s="5"/>
      <c r="W82" s="5"/>
      <c r="X82" s="5"/>
      <c r="Y82" s="5"/>
      <c r="Z82" s="6"/>
    </row>
    <row r="83" spans="1:26">
      <c r="A83" s="19" t="s">
        <v>39</v>
      </c>
      <c r="B83" s="29">
        <v>46235</v>
      </c>
      <c r="C83" s="20"/>
      <c r="D83" s="20"/>
      <c r="E83" s="20">
        <v>71.599999999999994</v>
      </c>
      <c r="F83" s="20">
        <v>132</v>
      </c>
      <c r="G83" s="20">
        <v>80</v>
      </c>
      <c r="H83" s="18">
        <f t="shared" si="0"/>
        <v>7.1909090909090958</v>
      </c>
      <c r="I83" s="5"/>
      <c r="J83" s="5"/>
      <c r="K83" s="5"/>
      <c r="L83" s="5"/>
      <c r="M83" s="5"/>
      <c r="N83" s="5"/>
      <c r="O83" s="5"/>
      <c r="P83" s="5"/>
      <c r="Q83" s="5"/>
      <c r="R83" s="5"/>
      <c r="S83" s="5"/>
      <c r="T83" s="5"/>
      <c r="U83" s="5"/>
      <c r="V83" s="5"/>
      <c r="W83" s="5"/>
      <c r="X83" s="5"/>
      <c r="Y83" s="5"/>
      <c r="Z83" s="6"/>
    </row>
    <row r="84" spans="1:26">
      <c r="A84" s="19" t="s">
        <v>28</v>
      </c>
      <c r="B84" s="29">
        <v>46235</v>
      </c>
      <c r="C84" s="20"/>
      <c r="D84" s="20"/>
      <c r="E84" s="20">
        <v>69</v>
      </c>
      <c r="F84" s="20">
        <v>124</v>
      </c>
      <c r="G84" s="20">
        <v>87</v>
      </c>
      <c r="H84" s="18">
        <f t="shared" si="0"/>
        <v>16.403225806451612</v>
      </c>
      <c r="I84" s="5"/>
      <c r="J84" s="5"/>
      <c r="K84" s="5"/>
      <c r="L84" s="5"/>
      <c r="M84" s="5"/>
      <c r="N84" s="5"/>
      <c r="O84" s="5"/>
      <c r="P84" s="5"/>
      <c r="Q84" s="5"/>
      <c r="R84" s="5"/>
      <c r="S84" s="5"/>
      <c r="T84" s="5"/>
      <c r="U84" s="5"/>
      <c r="V84" s="5"/>
      <c r="W84" s="5"/>
      <c r="X84" s="5"/>
      <c r="Y84" s="5"/>
      <c r="Z84" s="6"/>
    </row>
    <row r="85" spans="1:26">
      <c r="A85" s="19" t="s">
        <v>28</v>
      </c>
      <c r="B85" s="29">
        <v>46235</v>
      </c>
      <c r="C85" s="20"/>
      <c r="D85" s="20"/>
      <c r="E85" s="20">
        <v>70.900000000000006</v>
      </c>
      <c r="F85" s="20">
        <v>128</v>
      </c>
      <c r="G85" s="20">
        <v>86</v>
      </c>
      <c r="H85" s="18">
        <f t="shared" si="0"/>
        <v>13.330468749999994</v>
      </c>
      <c r="I85" s="5"/>
      <c r="J85" s="5"/>
      <c r="K85" s="5"/>
      <c r="L85" s="5"/>
      <c r="M85" s="5"/>
      <c r="N85" s="5"/>
      <c r="O85" s="5"/>
      <c r="P85" s="5"/>
      <c r="Q85" s="5"/>
      <c r="R85" s="5"/>
      <c r="S85" s="5"/>
      <c r="T85" s="5"/>
      <c r="U85" s="5"/>
      <c r="V85" s="5"/>
      <c r="W85" s="5"/>
      <c r="X85" s="5"/>
      <c r="Y85" s="5"/>
      <c r="Z85" s="6"/>
    </row>
    <row r="86" spans="1:26">
      <c r="A86" s="19" t="s">
        <v>33</v>
      </c>
      <c r="B86" s="29">
        <v>46235</v>
      </c>
      <c r="C86" s="20"/>
      <c r="D86" s="20"/>
      <c r="E86" s="20">
        <v>70.599999999999994</v>
      </c>
      <c r="F86" s="20">
        <v>124</v>
      </c>
      <c r="G86" s="20">
        <v>89</v>
      </c>
      <c r="H86" s="18">
        <f t="shared" si="0"/>
        <v>16.767741935483876</v>
      </c>
      <c r="I86" s="5"/>
      <c r="J86" s="5"/>
      <c r="K86" s="5"/>
      <c r="L86" s="5"/>
      <c r="M86" s="5"/>
      <c r="N86" s="5"/>
      <c r="O86" s="5"/>
      <c r="P86" s="5"/>
      <c r="Q86" s="5"/>
      <c r="R86" s="5"/>
      <c r="S86" s="5"/>
      <c r="T86" s="5"/>
      <c r="U86" s="5"/>
      <c r="V86" s="5"/>
      <c r="W86" s="5"/>
      <c r="X86" s="5"/>
      <c r="Y86" s="5"/>
      <c r="Z86" s="6"/>
    </row>
    <row r="87" spans="1:26">
      <c r="A87" s="19" t="s">
        <v>35</v>
      </c>
      <c r="B87" s="29">
        <v>46235</v>
      </c>
      <c r="C87" s="20"/>
      <c r="D87" s="20"/>
      <c r="E87" s="20">
        <v>73.5</v>
      </c>
      <c r="F87" s="20">
        <v>143</v>
      </c>
      <c r="G87" s="20">
        <v>71</v>
      </c>
      <c r="H87" s="18">
        <f t="shared" si="0"/>
        <v>-1.9755244755244756</v>
      </c>
      <c r="I87" s="5"/>
      <c r="J87" s="5"/>
      <c r="K87" s="5"/>
      <c r="L87" s="5"/>
      <c r="M87" s="5"/>
      <c r="N87" s="5"/>
      <c r="O87" s="5"/>
      <c r="P87" s="5"/>
      <c r="Q87" s="5"/>
      <c r="R87" s="5"/>
      <c r="S87" s="5"/>
      <c r="T87" s="5"/>
      <c r="U87" s="5"/>
      <c r="V87" s="5"/>
      <c r="W87" s="5"/>
      <c r="X87" s="5"/>
      <c r="Y87" s="5"/>
      <c r="Z87" s="6"/>
    </row>
    <row r="88" spans="1:26">
      <c r="A88" s="19" t="s">
        <v>35</v>
      </c>
      <c r="B88" s="29">
        <v>46235</v>
      </c>
      <c r="C88" s="20"/>
      <c r="D88" s="20"/>
      <c r="E88" s="20">
        <v>74.900000000000006</v>
      </c>
      <c r="F88" s="20">
        <v>136</v>
      </c>
      <c r="G88" s="20">
        <v>81</v>
      </c>
      <c r="H88" s="18">
        <f t="shared" si="0"/>
        <v>5.068382352941172</v>
      </c>
      <c r="I88" s="5"/>
      <c r="J88" s="5"/>
      <c r="K88" s="5"/>
      <c r="L88" s="5"/>
      <c r="M88" s="5"/>
      <c r="N88" s="5"/>
      <c r="O88" s="5"/>
      <c r="P88" s="5"/>
      <c r="Q88" s="5"/>
      <c r="R88" s="5"/>
      <c r="S88" s="5"/>
      <c r="T88" s="5"/>
      <c r="U88" s="5"/>
      <c r="V88" s="5"/>
      <c r="W88" s="5"/>
      <c r="X88" s="5"/>
      <c r="Y88" s="5"/>
      <c r="Z88" s="6"/>
    </row>
    <row r="89" spans="1:26">
      <c r="A89" s="19" t="s">
        <v>35</v>
      </c>
      <c r="B89" s="29">
        <v>46235</v>
      </c>
      <c r="C89" s="20"/>
      <c r="D89" s="20"/>
      <c r="E89" s="20">
        <v>73.2</v>
      </c>
      <c r="F89" s="20">
        <v>143</v>
      </c>
      <c r="G89" s="20">
        <v>82</v>
      </c>
      <c r="H89" s="18">
        <f t="shared" si="0"/>
        <v>6.9538461538461513</v>
      </c>
      <c r="I89" s="5"/>
      <c r="J89" s="5"/>
      <c r="K89" s="5"/>
      <c r="L89" s="5"/>
      <c r="M89" s="5"/>
      <c r="N89" s="5"/>
      <c r="O89" s="5"/>
      <c r="P89" s="5"/>
      <c r="Q89" s="5"/>
      <c r="R89" s="5"/>
      <c r="S89" s="5"/>
      <c r="T89" s="5"/>
      <c r="U89" s="5"/>
      <c r="V89" s="5"/>
      <c r="W89" s="5"/>
      <c r="X89" s="5"/>
      <c r="Y89" s="5"/>
      <c r="Z89" s="6"/>
    </row>
    <row r="90" spans="1:26">
      <c r="A90" s="19" t="s">
        <v>38</v>
      </c>
      <c r="B90" s="29">
        <v>46235</v>
      </c>
      <c r="C90" s="20"/>
      <c r="D90" s="20"/>
      <c r="E90" s="20">
        <v>71.599999999999994</v>
      </c>
      <c r="F90" s="20">
        <v>130</v>
      </c>
      <c r="G90" s="20">
        <v>80</v>
      </c>
      <c r="H90" s="18">
        <f t="shared" si="0"/>
        <v>7.301538461538466</v>
      </c>
      <c r="I90" s="5"/>
      <c r="J90" s="5"/>
      <c r="K90" s="5"/>
      <c r="L90" s="5"/>
      <c r="M90" s="5"/>
      <c r="N90" s="5"/>
      <c r="O90" s="5"/>
      <c r="P90" s="5"/>
      <c r="Q90" s="5"/>
      <c r="R90" s="5"/>
      <c r="S90" s="5"/>
      <c r="T90" s="5"/>
      <c r="U90" s="5"/>
      <c r="V90" s="5"/>
      <c r="W90" s="5"/>
      <c r="X90" s="5"/>
      <c r="Y90" s="5"/>
      <c r="Z90" s="6"/>
    </row>
    <row r="91" spans="1:26">
      <c r="A91" s="19" t="s">
        <v>38</v>
      </c>
      <c r="B91" s="29">
        <v>46235</v>
      </c>
      <c r="C91" s="20"/>
      <c r="D91" s="20"/>
      <c r="E91" s="20">
        <v>71</v>
      </c>
      <c r="F91" s="20">
        <v>135</v>
      </c>
      <c r="G91" s="20">
        <v>84</v>
      </c>
      <c r="H91" s="18">
        <f t="shared" si="0"/>
        <v>10.881481481481481</v>
      </c>
      <c r="I91" s="5"/>
      <c r="J91" s="5"/>
      <c r="K91" s="5"/>
      <c r="L91" s="5"/>
      <c r="M91" s="5"/>
      <c r="N91" s="5"/>
      <c r="O91" s="5"/>
      <c r="P91" s="5"/>
      <c r="Q91" s="5"/>
      <c r="R91" s="5"/>
      <c r="S91" s="5"/>
      <c r="T91" s="5"/>
      <c r="U91" s="5"/>
      <c r="V91" s="5"/>
      <c r="W91" s="5"/>
      <c r="X91" s="5"/>
      <c r="Y91" s="5"/>
      <c r="Z91" s="6"/>
    </row>
    <row r="92" spans="1:26">
      <c r="A92" s="19" t="s">
        <v>38</v>
      </c>
      <c r="B92" s="29">
        <v>46235</v>
      </c>
      <c r="C92" s="20"/>
      <c r="D92" s="20"/>
      <c r="E92" s="20">
        <v>69.900000000000006</v>
      </c>
      <c r="F92" s="20">
        <v>128</v>
      </c>
      <c r="G92" s="20">
        <v>77</v>
      </c>
      <c r="H92" s="18">
        <f t="shared" si="0"/>
        <v>6.2679687499999952</v>
      </c>
      <c r="I92" s="5"/>
      <c r="J92" s="5"/>
      <c r="K92" s="5"/>
      <c r="L92" s="5"/>
      <c r="M92" s="5"/>
      <c r="N92" s="5"/>
      <c r="O92" s="5"/>
      <c r="P92" s="5"/>
      <c r="Q92" s="5"/>
      <c r="R92" s="5"/>
      <c r="S92" s="5"/>
      <c r="T92" s="5"/>
      <c r="U92" s="5"/>
      <c r="V92" s="5"/>
      <c r="W92" s="5"/>
      <c r="X92" s="5"/>
      <c r="Y92" s="5"/>
      <c r="Z92" s="6"/>
    </row>
    <row r="93" spans="1:26">
      <c r="A93" s="19" t="s">
        <v>32</v>
      </c>
      <c r="B93" s="29">
        <v>46235</v>
      </c>
      <c r="C93" s="20"/>
      <c r="D93" s="20"/>
      <c r="E93" s="20">
        <v>72.7</v>
      </c>
      <c r="F93" s="20">
        <v>134</v>
      </c>
      <c r="G93" s="20">
        <v>83</v>
      </c>
      <c r="H93" s="18">
        <f t="shared" si="0"/>
        <v>8.6858208955223848</v>
      </c>
      <c r="I93" s="5"/>
      <c r="J93" s="5"/>
      <c r="K93" s="5"/>
      <c r="L93" s="5"/>
      <c r="M93" s="5"/>
      <c r="N93" s="5"/>
      <c r="O93" s="5"/>
      <c r="P93" s="5"/>
      <c r="Q93" s="5"/>
      <c r="R93" s="5"/>
      <c r="S93" s="5"/>
      <c r="T93" s="5"/>
      <c r="U93" s="5"/>
      <c r="V93" s="5"/>
      <c r="W93" s="5"/>
      <c r="X93" s="5"/>
      <c r="Y93" s="5"/>
      <c r="Z93" s="6"/>
    </row>
    <row r="94" spans="1:26">
      <c r="A94" s="19" t="s">
        <v>33</v>
      </c>
      <c r="B94" s="29">
        <v>46235</v>
      </c>
      <c r="C94" s="20"/>
      <c r="D94" s="20"/>
      <c r="E94" s="20">
        <v>71.7</v>
      </c>
      <c r="F94" s="20">
        <v>137</v>
      </c>
      <c r="G94" s="20">
        <v>86</v>
      </c>
      <c r="H94" s="18">
        <f t="shared" ref="H94:H107" si="1">IF(OR(A94="",E94="",F94="",G94=""),"",(G94-E94)*113/F94)</f>
        <v>11.794890510948903</v>
      </c>
      <c r="I94" s="5"/>
      <c r="J94" s="5"/>
      <c r="K94" s="5"/>
      <c r="L94" s="5"/>
      <c r="M94" s="5"/>
      <c r="N94" s="5"/>
      <c r="O94" s="5"/>
      <c r="P94" s="5"/>
      <c r="Q94" s="5"/>
      <c r="R94" s="5"/>
      <c r="S94" s="5"/>
      <c r="T94" s="5"/>
      <c r="U94" s="5"/>
      <c r="V94" s="5"/>
      <c r="W94" s="5"/>
      <c r="X94" s="5"/>
      <c r="Y94" s="5"/>
      <c r="Z94" s="6"/>
    </row>
    <row r="95" spans="1:26">
      <c r="A95" s="19"/>
      <c r="B95" s="29"/>
      <c r="C95" s="20"/>
      <c r="D95" s="20"/>
      <c r="E95" s="20"/>
      <c r="F95" s="20"/>
      <c r="G95" s="20"/>
      <c r="H95" s="18" t="str">
        <f t="shared" si="1"/>
        <v/>
      </c>
      <c r="I95" s="5"/>
      <c r="J95" s="5"/>
      <c r="K95" s="5"/>
      <c r="L95" s="5"/>
      <c r="M95" s="5"/>
      <c r="N95" s="5"/>
      <c r="O95" s="5"/>
      <c r="P95" s="5"/>
      <c r="Q95" s="5"/>
      <c r="R95" s="5"/>
      <c r="S95" s="5"/>
      <c r="T95" s="5"/>
      <c r="U95" s="5"/>
      <c r="V95" s="5"/>
      <c r="W95" s="5"/>
      <c r="X95" s="5"/>
      <c r="Y95" s="5"/>
      <c r="Z95" s="6"/>
    </row>
    <row r="96" spans="1:26">
      <c r="A96" s="19"/>
      <c r="B96" s="29"/>
      <c r="C96" s="20"/>
      <c r="D96" s="20"/>
      <c r="E96" s="20"/>
      <c r="F96" s="20"/>
      <c r="G96" s="20"/>
      <c r="H96" s="18" t="str">
        <f t="shared" si="1"/>
        <v/>
      </c>
      <c r="I96" s="5"/>
      <c r="J96" s="5"/>
      <c r="K96" s="5"/>
      <c r="L96" s="5"/>
      <c r="M96" s="5"/>
      <c r="N96" s="5"/>
      <c r="O96" s="5"/>
      <c r="P96" s="5"/>
      <c r="Q96" s="5"/>
      <c r="R96" s="5"/>
      <c r="S96" s="5"/>
      <c r="T96" s="5"/>
      <c r="U96" s="5"/>
      <c r="V96" s="5"/>
      <c r="W96" s="5"/>
      <c r="X96" s="5"/>
      <c r="Y96" s="5"/>
      <c r="Z96" s="6"/>
    </row>
    <row r="97" spans="1:26">
      <c r="A97" s="19"/>
      <c r="B97" s="29"/>
      <c r="C97" s="20"/>
      <c r="D97" s="20"/>
      <c r="E97" s="20"/>
      <c r="F97" s="20"/>
      <c r="G97" s="20"/>
      <c r="H97" s="18" t="str">
        <f t="shared" si="1"/>
        <v/>
      </c>
      <c r="I97" s="5"/>
      <c r="J97" s="5"/>
      <c r="K97" s="5"/>
      <c r="L97" s="5"/>
      <c r="M97" s="5"/>
      <c r="N97" s="5"/>
      <c r="O97" s="5"/>
      <c r="P97" s="5"/>
      <c r="Q97" s="5"/>
      <c r="R97" s="5"/>
      <c r="S97" s="5"/>
      <c r="T97" s="5"/>
      <c r="U97" s="5"/>
      <c r="V97" s="5"/>
      <c r="W97" s="5"/>
      <c r="X97" s="5"/>
      <c r="Y97" s="5"/>
      <c r="Z97" s="6"/>
    </row>
    <row r="98" spans="1:26">
      <c r="A98" s="19"/>
      <c r="B98" s="29"/>
      <c r="C98" s="20"/>
      <c r="D98" s="20"/>
      <c r="E98" s="20"/>
      <c r="F98" s="20"/>
      <c r="G98" s="20"/>
      <c r="H98" s="18" t="str">
        <f t="shared" si="1"/>
        <v/>
      </c>
      <c r="I98" s="5"/>
      <c r="J98" s="5"/>
      <c r="K98" s="5"/>
      <c r="L98" s="5"/>
      <c r="M98" s="5"/>
      <c r="N98" s="5"/>
      <c r="O98" s="5"/>
      <c r="P98" s="5"/>
      <c r="Q98" s="5"/>
      <c r="R98" s="5"/>
      <c r="S98" s="5"/>
      <c r="T98" s="5"/>
      <c r="U98" s="5"/>
      <c r="V98" s="5"/>
      <c r="W98" s="5"/>
      <c r="X98" s="5"/>
      <c r="Y98" s="5"/>
      <c r="Z98" s="6"/>
    </row>
    <row r="99" spans="1:26">
      <c r="A99" s="19"/>
      <c r="B99" s="29"/>
      <c r="C99" s="20"/>
      <c r="D99" s="20"/>
      <c r="E99" s="20"/>
      <c r="F99" s="20"/>
      <c r="G99" s="20"/>
      <c r="H99" s="18" t="str">
        <f t="shared" si="1"/>
        <v/>
      </c>
      <c r="I99" s="5"/>
      <c r="J99" s="5"/>
      <c r="K99" s="5"/>
      <c r="L99" s="5"/>
      <c r="M99" s="5"/>
      <c r="N99" s="5"/>
      <c r="O99" s="5"/>
      <c r="P99" s="5"/>
      <c r="Q99" s="5"/>
      <c r="R99" s="5"/>
      <c r="S99" s="5"/>
      <c r="T99" s="5"/>
      <c r="U99" s="5"/>
      <c r="V99" s="5"/>
      <c r="W99" s="5"/>
      <c r="X99" s="5"/>
      <c r="Y99" s="5"/>
      <c r="Z99" s="6"/>
    </row>
    <row r="100" spans="1:26">
      <c r="A100" s="19"/>
      <c r="B100" s="29"/>
      <c r="C100" s="20"/>
      <c r="D100" s="20"/>
      <c r="E100" s="20"/>
      <c r="F100" s="20"/>
      <c r="G100" s="20"/>
      <c r="H100" s="18" t="str">
        <f t="shared" si="1"/>
        <v/>
      </c>
      <c r="I100" s="5"/>
      <c r="J100" s="5"/>
      <c r="K100" s="5"/>
      <c r="L100" s="5"/>
      <c r="M100" s="5"/>
      <c r="N100" s="5"/>
      <c r="O100" s="5"/>
      <c r="P100" s="5"/>
      <c r="Q100" s="5"/>
      <c r="R100" s="5"/>
      <c r="S100" s="5"/>
      <c r="T100" s="5"/>
      <c r="U100" s="5"/>
      <c r="V100" s="5"/>
      <c r="W100" s="5"/>
      <c r="X100" s="5"/>
      <c r="Y100" s="5"/>
      <c r="Z100" s="6"/>
    </row>
    <row r="101" spans="1:26">
      <c r="A101" s="19"/>
      <c r="B101" s="29"/>
      <c r="C101" s="20"/>
      <c r="D101" s="20"/>
      <c r="E101" s="20"/>
      <c r="F101" s="20"/>
      <c r="G101" s="20"/>
      <c r="H101" s="18" t="str">
        <f t="shared" si="1"/>
        <v/>
      </c>
      <c r="I101" s="5"/>
      <c r="J101" s="5"/>
      <c r="K101" s="5"/>
      <c r="L101" s="5"/>
      <c r="M101" s="5"/>
      <c r="N101" s="5"/>
      <c r="O101" s="5"/>
      <c r="P101" s="5"/>
      <c r="Q101" s="5"/>
      <c r="R101" s="5"/>
      <c r="S101" s="5"/>
      <c r="T101" s="5"/>
      <c r="U101" s="5"/>
      <c r="V101" s="5"/>
      <c r="W101" s="5"/>
      <c r="X101" s="5"/>
      <c r="Y101" s="5"/>
      <c r="Z101" s="6"/>
    </row>
    <row r="102" spans="1:26">
      <c r="A102" s="19"/>
      <c r="B102" s="29"/>
      <c r="C102" s="20"/>
      <c r="D102" s="20"/>
      <c r="E102" s="20"/>
      <c r="F102" s="20"/>
      <c r="G102" s="20"/>
      <c r="H102" s="18" t="str">
        <f t="shared" si="1"/>
        <v/>
      </c>
      <c r="I102" s="5"/>
      <c r="J102" s="5"/>
      <c r="K102" s="5"/>
      <c r="L102" s="5"/>
      <c r="M102" s="5"/>
      <c r="N102" s="5"/>
      <c r="O102" s="5"/>
      <c r="P102" s="5"/>
      <c r="Q102" s="5"/>
      <c r="R102" s="5"/>
      <c r="S102" s="5"/>
      <c r="T102" s="5"/>
      <c r="U102" s="5"/>
      <c r="V102" s="5"/>
      <c r="W102" s="5"/>
      <c r="X102" s="5"/>
      <c r="Y102" s="5"/>
      <c r="Z102" s="6"/>
    </row>
    <row r="103" spans="1:26">
      <c r="A103" s="19"/>
      <c r="B103" s="29"/>
      <c r="C103" s="20"/>
      <c r="D103" s="20"/>
      <c r="E103" s="20"/>
      <c r="F103" s="20"/>
      <c r="G103" s="20"/>
      <c r="H103" s="18" t="str">
        <f t="shared" si="1"/>
        <v/>
      </c>
      <c r="I103" s="5"/>
      <c r="J103" s="5"/>
      <c r="K103" s="5"/>
      <c r="L103" s="5"/>
      <c r="M103" s="5"/>
      <c r="N103" s="5"/>
      <c r="O103" s="5"/>
      <c r="P103" s="5"/>
      <c r="Q103" s="5"/>
      <c r="R103" s="5"/>
      <c r="S103" s="5"/>
      <c r="T103" s="5"/>
      <c r="U103" s="5"/>
      <c r="V103" s="5"/>
      <c r="W103" s="5"/>
      <c r="X103" s="5"/>
      <c r="Y103" s="5"/>
      <c r="Z103" s="6"/>
    </row>
    <row r="104" spans="1:26">
      <c r="A104" s="19"/>
      <c r="B104" s="29"/>
      <c r="C104" s="20"/>
      <c r="D104" s="20"/>
      <c r="E104" s="20"/>
      <c r="F104" s="20"/>
      <c r="G104" s="20"/>
      <c r="H104" s="18" t="str">
        <f t="shared" si="1"/>
        <v/>
      </c>
      <c r="I104" s="5"/>
      <c r="J104" s="5"/>
      <c r="K104" s="5"/>
      <c r="L104" s="5"/>
      <c r="M104" s="5"/>
      <c r="N104" s="5"/>
      <c r="O104" s="5"/>
      <c r="P104" s="5"/>
      <c r="Q104" s="5"/>
      <c r="R104" s="5"/>
      <c r="S104" s="5"/>
      <c r="T104" s="5"/>
      <c r="U104" s="5"/>
      <c r="V104" s="5"/>
      <c r="W104" s="5"/>
      <c r="X104" s="5"/>
      <c r="Y104" s="5"/>
      <c r="Z104" s="6"/>
    </row>
    <row r="105" spans="1:26">
      <c r="A105" s="19"/>
      <c r="B105" s="29"/>
      <c r="C105" s="20"/>
      <c r="D105" s="20"/>
      <c r="E105" s="20"/>
      <c r="F105" s="20"/>
      <c r="G105" s="20"/>
      <c r="H105" s="18" t="str">
        <f t="shared" si="1"/>
        <v/>
      </c>
      <c r="I105" s="5"/>
      <c r="J105" s="5"/>
      <c r="K105" s="5"/>
      <c r="L105" s="5"/>
      <c r="M105" s="5"/>
      <c r="N105" s="5"/>
      <c r="O105" s="5"/>
      <c r="P105" s="5"/>
      <c r="Q105" s="5"/>
      <c r="R105" s="5"/>
      <c r="S105" s="5"/>
      <c r="T105" s="5"/>
      <c r="U105" s="5"/>
      <c r="V105" s="5"/>
      <c r="W105" s="5"/>
      <c r="X105" s="5"/>
      <c r="Y105" s="5"/>
      <c r="Z105" s="6"/>
    </row>
    <row r="106" spans="1:26">
      <c r="A106" s="19"/>
      <c r="B106" s="29"/>
      <c r="C106" s="20"/>
      <c r="D106" s="20"/>
      <c r="E106" s="20"/>
      <c r="F106" s="20"/>
      <c r="G106" s="20"/>
      <c r="H106" s="18" t="str">
        <f t="shared" si="1"/>
        <v/>
      </c>
      <c r="I106" s="5"/>
      <c r="J106" s="5"/>
      <c r="K106" s="5"/>
      <c r="L106" s="5"/>
      <c r="M106" s="5"/>
      <c r="N106" s="5"/>
      <c r="O106" s="5"/>
      <c r="P106" s="5"/>
      <c r="Q106" s="5"/>
      <c r="R106" s="5"/>
      <c r="S106" s="5"/>
      <c r="T106" s="5"/>
      <c r="U106" s="5"/>
      <c r="V106" s="5"/>
      <c r="W106" s="5"/>
      <c r="X106" s="5"/>
      <c r="Y106" s="5"/>
      <c r="Z106" s="6"/>
    </row>
    <row r="107" spans="1:26">
      <c r="A107" s="19"/>
      <c r="B107" s="29"/>
      <c r="C107" s="20"/>
      <c r="D107" s="20"/>
      <c r="E107" s="20"/>
      <c r="F107" s="20"/>
      <c r="G107" s="20"/>
      <c r="H107" s="18" t="str">
        <f t="shared" si="1"/>
        <v/>
      </c>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autoFilter ref="A4:Z4" xr:uid="{7EFB5BBD-6791-4722-BC0A-381E0CD5C1FE}">
    <sortState xmlns:xlrd2="http://schemas.microsoft.com/office/spreadsheetml/2017/richdata2" ref="A5:Z77">
      <sortCondition ref="B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5077A-FAA9-499E-8FA4-26C7C3417192}">
  <dimension ref="A1:Z1000"/>
  <sheetViews>
    <sheetView tabSelected="1" workbookViewId="0">
      <selection activeCell="B17" sqref="B17"/>
    </sheetView>
  </sheetViews>
  <sheetFormatPr defaultRowHeight="15"/>
  <cols>
    <col min="1" max="1" width="65" customWidth="1"/>
    <col min="2" max="2" width="12.7109375" customWidth="1"/>
    <col min="4" max="4" width="12" customWidth="1"/>
    <col min="5" max="5" width="11.140625" customWidth="1"/>
    <col min="6" max="6" width="11.85546875" customWidth="1"/>
    <col min="7" max="7" width="14.140625" customWidth="1"/>
    <col min="8" max="8" width="12.42578125" customWidth="1"/>
    <col min="9" max="9" width="9.5703125" customWidth="1"/>
  </cols>
  <sheetData>
    <row r="1" spans="1:26" ht="33">
      <c r="A1" s="1" t="s">
        <v>42</v>
      </c>
      <c r="B1" s="2"/>
      <c r="C1" s="2"/>
      <c r="D1" s="2"/>
      <c r="E1" s="2"/>
      <c r="F1" s="22" t="s">
        <v>43</v>
      </c>
      <c r="G1" s="23">
        <v>0.7</v>
      </c>
      <c r="H1" s="22" t="s">
        <v>44</v>
      </c>
      <c r="I1" s="24">
        <v>0.3</v>
      </c>
      <c r="J1" s="2"/>
      <c r="K1" s="2"/>
      <c r="L1" s="2"/>
      <c r="M1" s="2"/>
      <c r="N1" s="2"/>
      <c r="O1" s="2"/>
      <c r="P1" s="2"/>
      <c r="Q1" s="2"/>
      <c r="R1" s="2"/>
      <c r="S1" s="2"/>
      <c r="T1" s="2"/>
      <c r="U1" s="2"/>
      <c r="V1" s="2"/>
      <c r="W1" s="2"/>
      <c r="X1" s="2"/>
      <c r="Y1" s="2"/>
      <c r="Z1" s="3"/>
    </row>
    <row r="2" spans="1:26">
      <c r="A2" s="25" t="s">
        <v>45</v>
      </c>
      <c r="B2" s="15"/>
      <c r="C2" s="15"/>
      <c r="D2" s="15"/>
      <c r="E2" s="15"/>
      <c r="F2" s="15"/>
      <c r="G2" s="15"/>
      <c r="H2" s="15"/>
      <c r="I2" s="5"/>
      <c r="J2" s="5"/>
      <c r="K2" s="5"/>
      <c r="L2" s="5"/>
      <c r="M2" s="5"/>
      <c r="N2" s="5"/>
      <c r="O2" s="5"/>
      <c r="P2" s="5"/>
      <c r="Q2" s="5"/>
      <c r="R2" s="5"/>
      <c r="S2" s="5"/>
      <c r="T2" s="5"/>
      <c r="U2" s="5"/>
      <c r="V2" s="5"/>
      <c r="W2" s="5"/>
      <c r="X2" s="5"/>
      <c r="Y2" s="5"/>
      <c r="Z2" s="6"/>
    </row>
    <row r="3" spans="1:26" ht="72">
      <c r="A3" s="16" t="s">
        <v>19</v>
      </c>
      <c r="B3" s="17" t="s">
        <v>46</v>
      </c>
      <c r="C3" s="17" t="s">
        <v>47</v>
      </c>
      <c r="D3" s="17" t="s">
        <v>48</v>
      </c>
      <c r="E3" s="17" t="s">
        <v>49</v>
      </c>
      <c r="F3" s="17" t="s">
        <v>50</v>
      </c>
      <c r="G3" s="17" t="s">
        <v>11</v>
      </c>
      <c r="H3" s="17" t="s">
        <v>13</v>
      </c>
      <c r="I3" s="5"/>
      <c r="J3" s="5"/>
      <c r="K3" s="5"/>
      <c r="L3" s="5"/>
      <c r="M3" s="5"/>
      <c r="N3" s="5"/>
      <c r="O3" s="5"/>
      <c r="P3" s="5"/>
      <c r="Q3" s="5"/>
      <c r="R3" s="5"/>
      <c r="S3" s="5"/>
      <c r="T3" s="5"/>
      <c r="U3" s="5"/>
      <c r="V3" s="5"/>
      <c r="W3" s="5"/>
      <c r="X3" s="5"/>
      <c r="Y3" s="5"/>
      <c r="Z3" s="6"/>
    </row>
    <row r="4" spans="1:26">
      <c r="A4" s="19" t="s">
        <v>35</v>
      </c>
      <c r="B4" s="20">
        <v>0</v>
      </c>
      <c r="C4" s="26">
        <f>COUNTIF('Round Log'!$A$6:$A$200,A4)</f>
        <v>10</v>
      </c>
      <c r="D4" s="21">
        <f>IF(C4=0,"",AVERAGEIF('Round Log'!$A$6:$A$200,A4,'Round Log'!$H$6:$H$200))</f>
        <v>2.8045696161638314</v>
      </c>
      <c r="E4" s="21">
        <f>IF(C4=0,"",_xlfn.MINIFS('Round Log'!$H$6:$H$200,'Round Log'!$A$6:$A$200,A4))</f>
        <v>-1.9755244755244756</v>
      </c>
      <c r="F4" s="21">
        <f>IF(OR(D4="",B4=""),"",D4-B4)</f>
        <v>2.8045696161638314</v>
      </c>
      <c r="G4" s="21">
        <f>IF(B4="","",IF(D4="",B4,$G$1*B4+$I$1*D4))</f>
        <v>0.84137088484914935</v>
      </c>
      <c r="H4" s="21">
        <f>IF(G4="","",RANK(G4,$G$4:$G$19,1))</f>
        <v>1</v>
      </c>
      <c r="I4" s="5"/>
      <c r="J4" s="5"/>
      <c r="K4" s="5"/>
      <c r="L4" s="5"/>
      <c r="M4" s="5"/>
      <c r="N4" s="5"/>
      <c r="O4" s="5"/>
      <c r="P4" s="5"/>
      <c r="Q4" s="5"/>
      <c r="R4" s="5"/>
      <c r="S4" s="5"/>
      <c r="T4" s="5"/>
      <c r="U4" s="5"/>
      <c r="V4" s="5"/>
      <c r="W4" s="5"/>
      <c r="X4" s="5"/>
      <c r="Y4" s="5"/>
      <c r="Z4" s="6"/>
    </row>
    <row r="5" spans="1:26">
      <c r="A5" s="19" t="s">
        <v>30</v>
      </c>
      <c r="B5" s="20">
        <v>15.4</v>
      </c>
      <c r="C5" s="26">
        <f>COUNTIF('Round Log'!$A$6:$A$200,A5)</f>
        <v>6</v>
      </c>
      <c r="D5" s="21">
        <f>IF(C5=0,"",AVERAGEIF('Round Log'!$A$6:$A$200,A5,'Round Log'!$H$6:$H$200))</f>
        <v>19.935892009225345</v>
      </c>
      <c r="E5" s="21">
        <f>IF(C5=0,"",_xlfn.MINIFS('Round Log'!$H$6:$H$200,'Round Log'!$A$6:$A$200,A5))</f>
        <v>14.516153846153848</v>
      </c>
      <c r="F5" s="21">
        <f t="shared" ref="F5:F19" si="0">IF(OR(D5="",B5=""),"",D5-B5)</f>
        <v>4.5358920092253445</v>
      </c>
      <c r="G5" s="21">
        <f t="shared" ref="G5:G19" si="1">IF(B5="","",IF(D5="",B5,$G$1*B5+$I$1*D5))</f>
        <v>16.760767602767601</v>
      </c>
      <c r="H5" s="21">
        <f t="shared" ref="H5:H19" si="2">IF(G5="","",RANK(G5,$G$4:$G$19,1))</f>
        <v>12</v>
      </c>
      <c r="I5" s="5"/>
      <c r="J5" s="5"/>
      <c r="K5" s="5"/>
      <c r="L5" s="5"/>
      <c r="M5" s="5"/>
      <c r="N5" s="5"/>
      <c r="O5" s="5"/>
      <c r="P5" s="5"/>
      <c r="Q5" s="5"/>
      <c r="R5" s="5"/>
      <c r="S5" s="5"/>
      <c r="T5" s="5"/>
      <c r="U5" s="5"/>
      <c r="V5" s="5"/>
      <c r="W5" s="5"/>
      <c r="X5" s="5"/>
      <c r="Y5" s="5"/>
      <c r="Z5" s="6"/>
    </row>
    <row r="6" spans="1:26">
      <c r="A6" s="19" t="s">
        <v>34</v>
      </c>
      <c r="B6" s="20">
        <v>12.4</v>
      </c>
      <c r="C6" s="26">
        <f>COUNTIF('Round Log'!$A$6:$A$200,A6)</f>
        <v>7</v>
      </c>
      <c r="D6" s="21">
        <f>IF(C6=0,"",AVERAGEIF('Round Log'!$A$6:$A$200,A6,'Round Log'!$H$6:$H$200))</f>
        <v>16.419571896528065</v>
      </c>
      <c r="E6" s="21">
        <f>IF(C6=0,"",_xlfn.MINIFS('Round Log'!$H$6:$H$200,'Round Log'!$A$6:$A$200,A6))</f>
        <v>12.143283582089557</v>
      </c>
      <c r="F6" s="21">
        <f t="shared" si="0"/>
        <v>4.0195718965280651</v>
      </c>
      <c r="G6" s="21">
        <f t="shared" si="1"/>
        <v>13.60587156895842</v>
      </c>
      <c r="H6" s="21">
        <f t="shared" si="2"/>
        <v>7</v>
      </c>
      <c r="I6" s="5"/>
      <c r="J6" s="5"/>
      <c r="K6" s="5"/>
      <c r="L6" s="5"/>
      <c r="M6" s="5"/>
      <c r="N6" s="5"/>
      <c r="O6" s="5"/>
      <c r="P6" s="5"/>
      <c r="Q6" s="5"/>
      <c r="R6" s="5"/>
      <c r="S6" s="5"/>
      <c r="T6" s="5"/>
      <c r="U6" s="5"/>
      <c r="V6" s="5"/>
      <c r="W6" s="5"/>
      <c r="X6" s="5"/>
      <c r="Y6" s="5"/>
      <c r="Z6" s="6"/>
    </row>
    <row r="7" spans="1:26">
      <c r="A7" s="19" t="s">
        <v>36</v>
      </c>
      <c r="B7" s="20">
        <v>15.5</v>
      </c>
      <c r="C7" s="26">
        <f>COUNTIF('Round Log'!$A$6:$A$200,A7)</f>
        <v>4</v>
      </c>
      <c r="D7" s="21">
        <f>IF(C7=0,"",AVERAGEIF('Round Log'!$A$6:$A$200,A7,'Round Log'!$H$6:$H$200))</f>
        <v>15.655752606403684</v>
      </c>
      <c r="E7" s="21">
        <f>IF(C7=0,"",_xlfn.MINIFS('Round Log'!$H$6:$H$200,'Round Log'!$A$6:$A$200,A7))</f>
        <v>11.829687500000006</v>
      </c>
      <c r="F7" s="21">
        <f t="shared" si="0"/>
        <v>0.15575260640368427</v>
      </c>
      <c r="G7" s="21">
        <f t="shared" si="1"/>
        <v>15.546725781921104</v>
      </c>
      <c r="H7" s="21">
        <f t="shared" si="2"/>
        <v>9</v>
      </c>
      <c r="I7" s="5"/>
      <c r="J7" s="5"/>
      <c r="K7" s="5"/>
      <c r="L7" s="5"/>
      <c r="M7" s="5"/>
      <c r="N7" s="5"/>
      <c r="O7" s="5"/>
      <c r="P7" s="5"/>
      <c r="Q7" s="5"/>
      <c r="R7" s="5"/>
      <c r="S7" s="5"/>
      <c r="T7" s="5"/>
      <c r="U7" s="5"/>
      <c r="V7" s="5"/>
      <c r="W7" s="5"/>
      <c r="X7" s="5"/>
      <c r="Y7" s="5"/>
      <c r="Z7" s="6"/>
    </row>
    <row r="8" spans="1:26">
      <c r="A8" s="19" t="s">
        <v>37</v>
      </c>
      <c r="B8" s="20">
        <v>20.2</v>
      </c>
      <c r="C8" s="26">
        <f>COUNTIF('Round Log'!$A$6:$A$200,A8)</f>
        <v>4</v>
      </c>
      <c r="D8" s="21">
        <f>IF(C8=0,"",AVERAGEIF('Round Log'!$A$6:$A$200,A8,'Round Log'!$H$6:$H$200))</f>
        <v>21.186973088196108</v>
      </c>
      <c r="E8" s="21">
        <f>IF(C8=0,"",_xlfn.MINIFS('Round Log'!$H$6:$H$200,'Round Log'!$A$6:$A$200,A8))</f>
        <v>18.291366906474821</v>
      </c>
      <c r="F8" s="21">
        <f t="shared" si="0"/>
        <v>0.98697308819610896</v>
      </c>
      <c r="G8" s="21">
        <f t="shared" si="1"/>
        <v>20.496091926458831</v>
      </c>
      <c r="H8" s="21">
        <f t="shared" si="2"/>
        <v>14</v>
      </c>
      <c r="I8" s="5"/>
      <c r="J8" s="5"/>
      <c r="K8" s="5"/>
      <c r="L8" s="5"/>
      <c r="M8" s="5"/>
      <c r="N8" s="5"/>
      <c r="O8" s="5"/>
      <c r="P8" s="5"/>
      <c r="Q8" s="5"/>
      <c r="R8" s="5"/>
      <c r="S8" s="5"/>
      <c r="T8" s="5"/>
      <c r="U8" s="5"/>
      <c r="V8" s="5"/>
      <c r="W8" s="5"/>
      <c r="X8" s="5"/>
      <c r="Y8" s="5"/>
      <c r="Z8" s="6"/>
    </row>
    <row r="9" spans="1:26">
      <c r="A9" s="19" t="s">
        <v>38</v>
      </c>
      <c r="B9" s="20">
        <v>6.1</v>
      </c>
      <c r="C9" s="26">
        <f>COUNTIF('Round Log'!$A$6:$A$200,A9)</f>
        <v>9</v>
      </c>
      <c r="D9" s="21">
        <f>IF(C9=0,"",AVERAGEIF('Round Log'!$A$6:$A$200,A9,'Round Log'!$H$6:$H$200))</f>
        <v>8.8598036540816381</v>
      </c>
      <c r="E9" s="21">
        <f>IF(C9=0,"",_xlfn.MINIFS('Round Log'!$H$6:$H$200,'Round Log'!$A$6:$A$200,A9))</f>
        <v>4.9546153846153871</v>
      </c>
      <c r="F9" s="21">
        <f t="shared" si="0"/>
        <v>2.7598036540816384</v>
      </c>
      <c r="G9" s="21">
        <f t="shared" si="1"/>
        <v>6.9279410962244903</v>
      </c>
      <c r="H9" s="21">
        <f t="shared" si="2"/>
        <v>2</v>
      </c>
      <c r="I9" s="5"/>
      <c r="J9" s="5"/>
      <c r="K9" s="5"/>
      <c r="L9" s="5"/>
      <c r="M9" s="5"/>
      <c r="N9" s="5"/>
      <c r="O9" s="5"/>
      <c r="P9" s="5"/>
      <c r="Q9" s="5"/>
      <c r="R9" s="5"/>
      <c r="S9" s="5"/>
      <c r="T9" s="5"/>
      <c r="U9" s="5"/>
      <c r="V9" s="5"/>
      <c r="W9" s="5"/>
      <c r="X9" s="5"/>
      <c r="Y9" s="5"/>
      <c r="Z9" s="6"/>
    </row>
    <row r="10" spans="1:26">
      <c r="A10" s="19" t="s">
        <v>31</v>
      </c>
      <c r="B10" s="20">
        <v>28.4</v>
      </c>
      <c r="C10" s="26">
        <f>COUNTIF('Round Log'!$A$6:$A$200,A10)</f>
        <v>1</v>
      </c>
      <c r="D10" s="21">
        <f>IF(C10=0,"",AVERAGEIF('Round Log'!$A$6:$A$200,A10,'Round Log'!$H$6:$H$200))</f>
        <v>34.387769784172662</v>
      </c>
      <c r="E10" s="21">
        <f>IF(C10=0,"",_xlfn.MINIFS('Round Log'!$H$6:$H$200,'Round Log'!$A$6:$A$200,A10))</f>
        <v>34.387769784172662</v>
      </c>
      <c r="F10" s="21">
        <f t="shared" si="0"/>
        <v>5.9877697841726629</v>
      </c>
      <c r="G10" s="21">
        <f t="shared" si="1"/>
        <v>30.196330935251797</v>
      </c>
      <c r="H10" s="21">
        <f t="shared" si="2"/>
        <v>16</v>
      </c>
      <c r="I10" s="5"/>
      <c r="J10" s="5"/>
      <c r="K10" s="5"/>
      <c r="L10" s="5"/>
      <c r="M10" s="5"/>
      <c r="N10" s="5"/>
      <c r="O10" s="5"/>
      <c r="P10" s="5"/>
      <c r="Q10" s="5"/>
      <c r="R10" s="5"/>
      <c r="S10" s="5"/>
      <c r="T10" s="5"/>
      <c r="U10" s="5"/>
      <c r="V10" s="5"/>
      <c r="W10" s="5"/>
      <c r="X10" s="5"/>
      <c r="Y10" s="5"/>
      <c r="Z10" s="6"/>
    </row>
    <row r="11" spans="1:26">
      <c r="A11" s="19" t="s">
        <v>27</v>
      </c>
      <c r="B11" s="20">
        <v>17</v>
      </c>
      <c r="C11" s="26">
        <f>COUNTIF('Round Log'!$A$6:$A$200,A11)</f>
        <v>4</v>
      </c>
      <c r="D11" s="21">
        <f>IF(C11=0,"",AVERAGEIF('Round Log'!$A$6:$A$200,A11,'Round Log'!$H$6:$H$200))</f>
        <v>23.89765616015584</v>
      </c>
      <c r="E11" s="21">
        <f>IF(C11=0,"",_xlfn.MINIFS('Round Log'!$H$6:$H$200,'Round Log'!$A$6:$A$200,A11))</f>
        <v>18.079999999999995</v>
      </c>
      <c r="F11" s="21">
        <f t="shared" si="0"/>
        <v>6.8976561601558402</v>
      </c>
      <c r="G11" s="21">
        <f t="shared" si="1"/>
        <v>19.069296848046751</v>
      </c>
      <c r="H11" s="21">
        <f t="shared" si="2"/>
        <v>13</v>
      </c>
      <c r="I11" s="5"/>
      <c r="J11" s="5"/>
      <c r="K11" s="5"/>
      <c r="L11" s="5"/>
      <c r="M11" s="5"/>
      <c r="N11" s="5"/>
      <c r="O11" s="5"/>
      <c r="P11" s="5"/>
      <c r="Q11" s="5"/>
      <c r="R11" s="5"/>
      <c r="S11" s="5"/>
      <c r="T11" s="5"/>
      <c r="U11" s="5"/>
      <c r="V11" s="5"/>
      <c r="W11" s="5"/>
      <c r="X11" s="5"/>
      <c r="Y11" s="5"/>
      <c r="Z11" s="6"/>
    </row>
    <row r="12" spans="1:26">
      <c r="A12" s="19" t="s">
        <v>32</v>
      </c>
      <c r="B12" s="20">
        <v>6.4</v>
      </c>
      <c r="C12" s="26">
        <f>COUNTIF('Round Log'!$A$6:$A$200,A12)</f>
        <v>6</v>
      </c>
      <c r="D12" s="21">
        <f>IF(C12=0,"",AVERAGEIF('Round Log'!$A$6:$A$200,A12,'Round Log'!$H$6:$H$200))</f>
        <v>8.746148105625716</v>
      </c>
      <c r="E12" s="21">
        <f>IF(C12=0,"",_xlfn.MINIFS('Round Log'!$H$6:$H$200,'Round Log'!$A$6:$A$200,A12))</f>
        <v>4.4694029850746242</v>
      </c>
      <c r="F12" s="21">
        <f t="shared" si="0"/>
        <v>2.3461481056257156</v>
      </c>
      <c r="G12" s="21">
        <f t="shared" si="1"/>
        <v>7.1038444316877136</v>
      </c>
      <c r="H12" s="21">
        <f t="shared" si="2"/>
        <v>3</v>
      </c>
      <c r="I12" s="5"/>
      <c r="J12" s="5"/>
      <c r="K12" s="5"/>
      <c r="L12" s="5"/>
      <c r="M12" s="5"/>
      <c r="N12" s="5"/>
      <c r="O12" s="5"/>
      <c r="P12" s="5"/>
      <c r="Q12" s="5"/>
      <c r="R12" s="5"/>
      <c r="S12" s="5"/>
      <c r="T12" s="5"/>
      <c r="U12" s="5"/>
      <c r="V12" s="5"/>
      <c r="W12" s="5"/>
      <c r="X12" s="5"/>
      <c r="Y12" s="5"/>
      <c r="Z12" s="6"/>
    </row>
    <row r="13" spans="1:26">
      <c r="A13" s="19" t="s">
        <v>39</v>
      </c>
      <c r="B13" s="20">
        <v>8.5</v>
      </c>
      <c r="C13" s="26">
        <f>COUNTIF('Round Log'!$A$6:$A$200,A13)</f>
        <v>6</v>
      </c>
      <c r="D13" s="21">
        <f>IF(C13=0,"",AVERAGEIF('Round Log'!$A$6:$A$200,A13,'Round Log'!$H$6:$H$200))</f>
        <v>9.0996094274247188</v>
      </c>
      <c r="E13" s="21">
        <f>IF(C13=0,"",_xlfn.MINIFS('Round Log'!$H$6:$H$200,'Round Log'!$A$6:$A$200,A13))</f>
        <v>6.4113475177304968</v>
      </c>
      <c r="F13" s="21">
        <f t="shared" si="0"/>
        <v>0.59960942742471879</v>
      </c>
      <c r="G13" s="21">
        <f t="shared" si="1"/>
        <v>8.6798828282274147</v>
      </c>
      <c r="H13" s="21">
        <f t="shared" si="2"/>
        <v>4</v>
      </c>
      <c r="I13" s="5"/>
      <c r="J13" s="5"/>
      <c r="K13" s="5"/>
      <c r="L13" s="5"/>
      <c r="M13" s="5"/>
      <c r="N13" s="5"/>
      <c r="O13" s="5"/>
      <c r="P13" s="5"/>
      <c r="Q13" s="5"/>
      <c r="R13" s="5"/>
      <c r="S13" s="5"/>
      <c r="T13" s="5"/>
      <c r="U13" s="5"/>
      <c r="V13" s="5"/>
      <c r="W13" s="5"/>
      <c r="X13" s="5"/>
      <c r="Y13" s="5"/>
      <c r="Z13" s="6"/>
    </row>
    <row r="14" spans="1:26">
      <c r="A14" s="19" t="s">
        <v>28</v>
      </c>
      <c r="B14" s="20">
        <v>12.2</v>
      </c>
      <c r="C14" s="26">
        <f>COUNTIF('Round Log'!$A$6:$A$200,A14)</f>
        <v>6</v>
      </c>
      <c r="D14" s="21">
        <f>IF(C14=0,"",AVERAGEIF('Round Log'!$A$6:$A$200,A14,'Round Log'!$H$6:$H$200))</f>
        <v>14.081555070507562</v>
      </c>
      <c r="E14" s="21">
        <f>IF(C14=0,"",_xlfn.MINIFS('Round Log'!$H$6:$H$200,'Round Log'!$A$6:$A$200,A14))</f>
        <v>8.9306451612903199</v>
      </c>
      <c r="F14" s="21">
        <f t="shared" si="0"/>
        <v>1.881555070507563</v>
      </c>
      <c r="G14" s="21">
        <f t="shared" si="1"/>
        <v>12.764466521152269</v>
      </c>
      <c r="H14" s="21">
        <f t="shared" si="2"/>
        <v>6</v>
      </c>
      <c r="I14" s="5"/>
      <c r="J14" s="5"/>
      <c r="K14" s="5"/>
      <c r="L14" s="5"/>
      <c r="M14" s="5"/>
      <c r="N14" s="5"/>
      <c r="O14" s="5"/>
      <c r="P14" s="5"/>
      <c r="Q14" s="5"/>
      <c r="R14" s="5"/>
      <c r="S14" s="5"/>
      <c r="T14" s="5"/>
      <c r="U14" s="5"/>
      <c r="V14" s="5"/>
      <c r="W14" s="5"/>
      <c r="X14" s="5"/>
      <c r="Y14" s="5"/>
      <c r="Z14" s="6"/>
    </row>
    <row r="15" spans="1:26">
      <c r="A15" s="19" t="s">
        <v>40</v>
      </c>
      <c r="B15" s="20">
        <v>16.2</v>
      </c>
      <c r="C15" s="26">
        <f>COUNTIF('Round Log'!$A$6:$A$200,A15)</f>
        <v>9</v>
      </c>
      <c r="D15" s="21">
        <f>IF(C15=0,"",AVERAGEIF('Round Log'!$A$6:$A$200,A15,'Round Log'!$H$6:$H$200))</f>
        <v>17.739356574441942</v>
      </c>
      <c r="E15" s="21">
        <f>IF(C15=0,"",_xlfn.MINIFS('Round Log'!$H$6:$H$200,'Round Log'!$A$6:$A$200,A15))</f>
        <v>14.588805970149251</v>
      </c>
      <c r="F15" s="21">
        <f t="shared" si="0"/>
        <v>1.5393565744419426</v>
      </c>
      <c r="G15" s="21">
        <f t="shared" si="1"/>
        <v>16.661806972332581</v>
      </c>
      <c r="H15" s="21">
        <f t="shared" si="2"/>
        <v>11</v>
      </c>
      <c r="I15" s="5"/>
      <c r="J15" s="5"/>
      <c r="K15" s="5"/>
      <c r="L15" s="5"/>
      <c r="M15" s="5"/>
      <c r="N15" s="5"/>
      <c r="O15" s="5"/>
      <c r="P15" s="5"/>
      <c r="Q15" s="5"/>
      <c r="R15" s="5"/>
      <c r="S15" s="5"/>
      <c r="T15" s="5"/>
      <c r="U15" s="5"/>
      <c r="V15" s="5"/>
      <c r="W15" s="5"/>
      <c r="X15" s="5"/>
      <c r="Y15" s="5"/>
      <c r="Z15" s="6"/>
    </row>
    <row r="16" spans="1:26">
      <c r="A16" s="19" t="s">
        <v>33</v>
      </c>
      <c r="B16" s="20">
        <v>9.6999999999999993</v>
      </c>
      <c r="C16" s="26">
        <f>COUNTIF('Round Log'!$A$6:$A$200,A16)</f>
        <v>8</v>
      </c>
      <c r="D16" s="21">
        <f>IF(C16=0,"",AVERAGEIF('Round Log'!$A$6:$A$200,A16,'Round Log'!$H$6:$H$200))</f>
        <v>13.159586217059292</v>
      </c>
      <c r="E16" s="21">
        <f>IF(C16=0,"",_xlfn.MINIFS('Round Log'!$H$6:$H$200,'Round Log'!$A$6:$A$200,A16))</f>
        <v>3.8259842519685017</v>
      </c>
      <c r="F16" s="21">
        <f t="shared" si="0"/>
        <v>3.459586217059293</v>
      </c>
      <c r="G16" s="21">
        <f t="shared" si="1"/>
        <v>10.737875865117786</v>
      </c>
      <c r="H16" s="21">
        <f t="shared" si="2"/>
        <v>5</v>
      </c>
      <c r="I16" s="5"/>
      <c r="J16" s="5"/>
      <c r="K16" s="5"/>
      <c r="L16" s="5"/>
      <c r="M16" s="5"/>
      <c r="N16" s="5"/>
      <c r="O16" s="5"/>
      <c r="P16" s="5"/>
      <c r="Q16" s="5"/>
      <c r="R16" s="5"/>
      <c r="S16" s="5"/>
      <c r="T16" s="5"/>
      <c r="U16" s="5"/>
      <c r="V16" s="5"/>
      <c r="W16" s="5"/>
      <c r="X16" s="5"/>
      <c r="Y16" s="5"/>
      <c r="Z16" s="6"/>
    </row>
    <row r="17" spans="1:26">
      <c r="A17" s="19" t="s">
        <v>26</v>
      </c>
      <c r="B17" s="20">
        <v>14.2</v>
      </c>
      <c r="C17" s="26">
        <f>COUNTIF('Round Log'!$A$6:$A$200,A17)</f>
        <v>3</v>
      </c>
      <c r="D17" s="21">
        <f>IF(C17=0,"",AVERAGEIF('Round Log'!$A$6:$A$200,A17,'Round Log'!$H$6:$H$200))</f>
        <v>19.430552979042563</v>
      </c>
      <c r="E17" s="21">
        <f>IF(C17=0,"",_xlfn.MINIFS('Round Log'!$H$6:$H$200,'Round Log'!$A$6:$A$200,A17))</f>
        <v>17.744531249999994</v>
      </c>
      <c r="F17" s="21">
        <f t="shared" si="0"/>
        <v>5.2305529790425638</v>
      </c>
      <c r="G17" s="21">
        <f t="shared" si="1"/>
        <v>15.769165893712767</v>
      </c>
      <c r="H17" s="21">
        <f t="shared" si="2"/>
        <v>10</v>
      </c>
      <c r="I17" s="5"/>
      <c r="J17" s="5"/>
      <c r="K17" s="5"/>
      <c r="L17" s="5"/>
      <c r="M17" s="5"/>
      <c r="N17" s="5"/>
      <c r="O17" s="5"/>
      <c r="P17" s="5"/>
      <c r="Q17" s="5"/>
      <c r="R17" s="5"/>
      <c r="S17" s="5"/>
      <c r="T17" s="5"/>
      <c r="U17" s="5"/>
      <c r="V17" s="5"/>
      <c r="W17" s="5"/>
      <c r="X17" s="5"/>
      <c r="Y17" s="5"/>
      <c r="Z17" s="6"/>
    </row>
    <row r="18" spans="1:26">
      <c r="A18" s="19" t="s">
        <v>29</v>
      </c>
      <c r="B18" s="20">
        <v>15.3</v>
      </c>
      <c r="C18" s="26">
        <f>COUNTIF('Round Log'!$A$6:$A$200,A18)</f>
        <v>5</v>
      </c>
      <c r="D18" s="21">
        <f>IF(C18=0,"",AVERAGEIF('Round Log'!$A$6:$A$200,A18,'Round Log'!$H$6:$H$200))</f>
        <v>14.898938176251608</v>
      </c>
      <c r="E18" s="21">
        <f>IF(C18=0,"",_xlfn.MINIFS('Round Log'!$H$6:$H$200,'Round Log'!$A$6:$A$200,A18))</f>
        <v>12.643356643356643</v>
      </c>
      <c r="F18" s="21">
        <f t="shared" si="0"/>
        <v>-0.4010618237483925</v>
      </c>
      <c r="G18" s="21">
        <f t="shared" si="1"/>
        <v>15.179681452875482</v>
      </c>
      <c r="H18" s="21">
        <f t="shared" si="2"/>
        <v>8</v>
      </c>
      <c r="I18" s="5"/>
      <c r="J18" s="5"/>
      <c r="K18" s="5"/>
      <c r="L18" s="5"/>
      <c r="M18" s="5"/>
      <c r="N18" s="5"/>
      <c r="O18" s="5"/>
      <c r="P18" s="5"/>
      <c r="Q18" s="5"/>
      <c r="R18" s="5"/>
      <c r="S18" s="5"/>
      <c r="T18" s="5"/>
      <c r="U18" s="5"/>
      <c r="V18" s="5"/>
      <c r="W18" s="5"/>
      <c r="X18" s="5"/>
      <c r="Y18" s="5"/>
      <c r="Z18" s="6"/>
    </row>
    <row r="19" spans="1:26">
      <c r="A19" s="19" t="s">
        <v>51</v>
      </c>
      <c r="B19" s="20">
        <v>23</v>
      </c>
      <c r="C19" s="26">
        <f>COUNTIF('Round Log'!$A$6:$A$200,A19)</f>
        <v>1</v>
      </c>
      <c r="D19" s="21">
        <f>IF(C19=0,"",AVERAGEIF('Round Log'!$A$6:$A$200,A19,'Round Log'!$H$6:$H$200))</f>
        <v>23.696268656716413</v>
      </c>
      <c r="E19" s="21">
        <f>IF(C19=0,"",_xlfn.MINIFS('Round Log'!$H$6:$H$200,'Round Log'!$A$6:$A$200,A19))</f>
        <v>23.696268656716413</v>
      </c>
      <c r="F19" s="21">
        <f t="shared" si="0"/>
        <v>0.69626865671641269</v>
      </c>
      <c r="G19" s="21">
        <f t="shared" si="1"/>
        <v>23.208880597014922</v>
      </c>
      <c r="H19" s="21">
        <f t="shared" si="2"/>
        <v>15</v>
      </c>
      <c r="I19" s="5"/>
      <c r="J19" s="5"/>
      <c r="K19" s="5"/>
      <c r="L19" s="5"/>
      <c r="M19" s="5"/>
      <c r="N19" s="5"/>
      <c r="O19" s="5"/>
      <c r="P19" s="5"/>
      <c r="Q19" s="5"/>
      <c r="R19" s="5"/>
      <c r="S19" s="5"/>
      <c r="T19" s="5"/>
      <c r="U19" s="5"/>
      <c r="V19" s="5"/>
      <c r="W19" s="5"/>
      <c r="X19" s="5"/>
      <c r="Y19" s="5"/>
      <c r="Z19" s="6"/>
    </row>
    <row r="20" spans="1:26">
      <c r="A20" s="7"/>
      <c r="B20" s="5"/>
      <c r="C20" s="5"/>
      <c r="D20" s="5"/>
      <c r="E20" s="21" t="str">
        <f>IF(C20=0,"",_xlfn.MINIFS('Round Log'!$H$6:$H$200,'Round Log'!$A$6:$A$200,A20))</f>
        <v/>
      </c>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061FA-0A62-4BD7-9C2E-6C4537804E64}">
  <dimension ref="A1:Z1000"/>
  <sheetViews>
    <sheetView topLeftCell="A3" workbookViewId="0">
      <selection activeCell="E5" sqref="E5"/>
    </sheetView>
  </sheetViews>
  <sheetFormatPr defaultColWidth="13.28515625" defaultRowHeight="15"/>
  <cols>
    <col min="4" max="4" width="29.42578125" customWidth="1"/>
    <col min="5" max="5" width="27.140625" customWidth="1"/>
  </cols>
  <sheetData>
    <row r="1" spans="1:26" ht="18">
      <c r="A1" s="1" t="s">
        <v>52</v>
      </c>
      <c r="B1" s="2"/>
      <c r="C1" s="2"/>
      <c r="D1" s="2"/>
      <c r="E1" s="2"/>
      <c r="F1" s="2"/>
      <c r="G1" s="2"/>
      <c r="H1" s="2"/>
      <c r="I1" s="2"/>
      <c r="J1" s="2"/>
      <c r="K1" s="2"/>
      <c r="L1" s="2"/>
      <c r="M1" s="2"/>
      <c r="N1" s="2"/>
      <c r="O1" s="2"/>
      <c r="P1" s="2"/>
      <c r="Q1" s="2"/>
      <c r="R1" s="2"/>
      <c r="S1" s="2"/>
      <c r="T1" s="2"/>
      <c r="U1" s="2"/>
      <c r="V1" s="2"/>
      <c r="W1" s="2"/>
      <c r="X1" s="2"/>
      <c r="Y1" s="2"/>
      <c r="Z1" s="3"/>
    </row>
    <row r="2" spans="1:26">
      <c r="A2" s="4" t="s">
        <v>53</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5"/>
      <c r="G3" s="5"/>
      <c r="H3" s="5"/>
      <c r="I3" s="5"/>
      <c r="J3" s="5"/>
      <c r="K3" s="5"/>
      <c r="L3" s="5"/>
      <c r="M3" s="5"/>
      <c r="N3" s="5"/>
      <c r="O3" s="5"/>
      <c r="P3" s="5"/>
      <c r="Q3" s="5"/>
      <c r="R3" s="5"/>
      <c r="S3" s="5"/>
      <c r="T3" s="5"/>
      <c r="U3" s="5"/>
      <c r="V3" s="5"/>
      <c r="W3" s="5"/>
      <c r="X3" s="5"/>
      <c r="Y3" s="5"/>
      <c r="Z3" s="6"/>
    </row>
    <row r="4" spans="1:26" ht="72">
      <c r="A4" s="16" t="s">
        <v>54</v>
      </c>
      <c r="B4" s="17" t="s">
        <v>55</v>
      </c>
      <c r="C4" s="17" t="s">
        <v>56</v>
      </c>
      <c r="D4" s="17" t="s">
        <v>46</v>
      </c>
      <c r="E4" s="17" t="s">
        <v>57</v>
      </c>
      <c r="F4" s="5"/>
      <c r="G4" s="5"/>
      <c r="H4" s="5"/>
      <c r="I4" s="5"/>
      <c r="J4" s="5"/>
      <c r="K4" s="5"/>
      <c r="L4" s="5"/>
      <c r="M4" s="5"/>
      <c r="N4" s="5"/>
      <c r="O4" s="5"/>
      <c r="P4" s="5"/>
      <c r="Q4" s="5"/>
      <c r="R4" s="5"/>
      <c r="S4" s="5"/>
      <c r="T4" s="5"/>
      <c r="U4" s="5"/>
      <c r="V4" s="5"/>
      <c r="W4" s="5"/>
      <c r="X4" s="5"/>
      <c r="Y4" s="5"/>
      <c r="Z4" s="6"/>
    </row>
    <row r="5" spans="1:26">
      <c r="A5" s="27">
        <v>1</v>
      </c>
      <c r="B5" s="26" t="s">
        <v>58</v>
      </c>
      <c r="C5" s="20"/>
      <c r="D5" s="21" t="str">
        <f>IF(C5="","",IFERROR(INDEX('Golfer Summary'!$B$4:$B$19,MATCH(C5,'Golfer Summary'!$A$4:$A$19,0)),"not found"))</f>
        <v/>
      </c>
      <c r="E5" s="21" t="str">
        <f>IF(C5="","",IFERROR(INDEX('Golfer Summary'!$H$4:$H$19,MATCH(C5,'Golfer Summary'!$A$4:$A$19,0)),"not found"))</f>
        <v/>
      </c>
      <c r="F5" s="5"/>
      <c r="G5" s="5"/>
      <c r="H5" s="5"/>
      <c r="I5" s="5"/>
      <c r="J5" s="5"/>
      <c r="K5" s="5"/>
      <c r="L5" s="5"/>
      <c r="M5" s="5"/>
      <c r="N5" s="5"/>
      <c r="O5" s="5"/>
      <c r="P5" s="5"/>
      <c r="Q5" s="5"/>
      <c r="R5" s="5"/>
      <c r="S5" s="5"/>
      <c r="T5" s="5"/>
      <c r="U5" s="5"/>
      <c r="V5" s="5"/>
      <c r="W5" s="5"/>
      <c r="X5" s="5"/>
      <c r="Y5" s="5"/>
      <c r="Z5" s="6"/>
    </row>
    <row r="6" spans="1:26">
      <c r="A6" s="27">
        <v>2</v>
      </c>
      <c r="B6" s="26" t="s">
        <v>59</v>
      </c>
      <c r="C6" s="20"/>
      <c r="D6" s="21"/>
      <c r="E6" s="21"/>
      <c r="F6" s="5"/>
      <c r="G6" s="5"/>
      <c r="H6" s="5"/>
      <c r="I6" s="5"/>
      <c r="J6" s="5"/>
      <c r="K6" s="5"/>
      <c r="L6" s="5"/>
      <c r="M6" s="5"/>
      <c r="N6" s="5"/>
      <c r="O6" s="5"/>
      <c r="P6" s="5"/>
      <c r="Q6" s="5"/>
      <c r="R6" s="5"/>
      <c r="S6" s="5"/>
      <c r="T6" s="5"/>
      <c r="U6" s="5"/>
      <c r="V6" s="5"/>
      <c r="W6" s="5"/>
      <c r="X6" s="5"/>
      <c r="Y6" s="5"/>
      <c r="Z6" s="6"/>
    </row>
    <row r="7" spans="1:26">
      <c r="A7" s="27">
        <v>3</v>
      </c>
      <c r="B7" s="26" t="s">
        <v>59</v>
      </c>
      <c r="C7" s="20"/>
      <c r="D7" s="21"/>
      <c r="E7" s="21"/>
      <c r="F7" s="5"/>
      <c r="G7" s="5"/>
      <c r="H7" s="5"/>
      <c r="I7" s="5"/>
      <c r="J7" s="5"/>
      <c r="K7" s="5"/>
      <c r="L7" s="5"/>
      <c r="M7" s="5"/>
      <c r="N7" s="5"/>
      <c r="O7" s="5"/>
      <c r="P7" s="5"/>
      <c r="Q7" s="5"/>
      <c r="R7" s="5"/>
      <c r="S7" s="5"/>
      <c r="T7" s="5"/>
      <c r="U7" s="5"/>
      <c r="V7" s="5"/>
      <c r="W7" s="5"/>
      <c r="X7" s="5"/>
      <c r="Y7" s="5"/>
      <c r="Z7" s="6"/>
    </row>
    <row r="8" spans="1:26">
      <c r="A8" s="27">
        <v>4</v>
      </c>
      <c r="B8" s="26" t="s">
        <v>58</v>
      </c>
      <c r="C8" s="20"/>
      <c r="D8" s="21"/>
      <c r="E8" s="21"/>
      <c r="F8" s="5"/>
      <c r="G8" s="5"/>
      <c r="H8" s="5"/>
      <c r="I8" s="5"/>
      <c r="J8" s="5"/>
      <c r="K8" s="5"/>
      <c r="L8" s="5"/>
      <c r="M8" s="5"/>
      <c r="N8" s="5"/>
      <c r="O8" s="5"/>
      <c r="P8" s="5"/>
      <c r="Q8" s="5"/>
      <c r="R8" s="5"/>
      <c r="S8" s="5"/>
      <c r="T8" s="5"/>
      <c r="U8" s="5"/>
      <c r="V8" s="5"/>
      <c r="W8" s="5"/>
      <c r="X8" s="5"/>
      <c r="Y8" s="5"/>
      <c r="Z8" s="6"/>
    </row>
    <row r="9" spans="1:26">
      <c r="A9" s="27">
        <v>5</v>
      </c>
      <c r="B9" s="26" t="s">
        <v>58</v>
      </c>
      <c r="C9" s="20"/>
      <c r="D9" s="21"/>
      <c r="E9" s="21"/>
      <c r="F9" s="5"/>
      <c r="G9" s="5"/>
      <c r="H9" s="5"/>
      <c r="I9" s="5"/>
      <c r="J9" s="5"/>
      <c r="K9" s="5"/>
      <c r="L9" s="5"/>
      <c r="M9" s="5"/>
      <c r="N9" s="5"/>
      <c r="O9" s="5"/>
      <c r="P9" s="5"/>
      <c r="Q9" s="5"/>
      <c r="R9" s="5"/>
      <c r="S9" s="5"/>
      <c r="T9" s="5"/>
      <c r="U9" s="5"/>
      <c r="V9" s="5"/>
      <c r="W9" s="5"/>
      <c r="X9" s="5"/>
      <c r="Y9" s="5"/>
      <c r="Z9" s="6"/>
    </row>
    <row r="10" spans="1:26">
      <c r="A10" s="27">
        <v>6</v>
      </c>
      <c r="B10" s="26" t="s">
        <v>59</v>
      </c>
      <c r="C10" s="20"/>
      <c r="D10" s="21"/>
      <c r="E10" s="21"/>
      <c r="F10" s="5"/>
      <c r="G10" s="5"/>
      <c r="H10" s="5"/>
      <c r="I10" s="5"/>
      <c r="J10" s="5"/>
      <c r="K10" s="5"/>
      <c r="L10" s="5"/>
      <c r="M10" s="5"/>
      <c r="N10" s="5"/>
      <c r="O10" s="5"/>
      <c r="P10" s="5"/>
      <c r="Q10" s="5"/>
      <c r="R10" s="5"/>
      <c r="S10" s="5"/>
      <c r="T10" s="5"/>
      <c r="U10" s="5"/>
      <c r="V10" s="5"/>
      <c r="W10" s="5"/>
      <c r="X10" s="5"/>
      <c r="Y10" s="5"/>
      <c r="Z10" s="6"/>
    </row>
    <row r="11" spans="1:26">
      <c r="A11" s="27">
        <v>7</v>
      </c>
      <c r="B11" s="26" t="s">
        <v>59</v>
      </c>
      <c r="C11" s="20"/>
      <c r="D11" s="21"/>
      <c r="E11" s="21"/>
      <c r="F11" s="5"/>
      <c r="G11" s="5"/>
      <c r="H11" s="5"/>
      <c r="I11" s="5"/>
      <c r="J11" s="5"/>
      <c r="K11" s="5"/>
      <c r="L11" s="5"/>
      <c r="M11" s="5"/>
      <c r="N11" s="5"/>
      <c r="O11" s="5"/>
      <c r="P11" s="5"/>
      <c r="Q11" s="5"/>
      <c r="R11" s="5"/>
      <c r="S11" s="5"/>
      <c r="T11" s="5"/>
      <c r="U11" s="5"/>
      <c r="V11" s="5"/>
      <c r="W11" s="5"/>
      <c r="X11" s="5"/>
      <c r="Y11" s="5"/>
      <c r="Z11" s="6"/>
    </row>
    <row r="12" spans="1:26">
      <c r="A12" s="27">
        <v>8</v>
      </c>
      <c r="B12" s="26" t="s">
        <v>58</v>
      </c>
      <c r="C12" s="20"/>
      <c r="D12" s="21"/>
      <c r="E12" s="21"/>
      <c r="F12" s="5"/>
      <c r="G12" s="5"/>
      <c r="H12" s="5"/>
      <c r="I12" s="5"/>
      <c r="J12" s="5"/>
      <c r="K12" s="5"/>
      <c r="L12" s="5"/>
      <c r="M12" s="5"/>
      <c r="N12" s="5"/>
      <c r="O12" s="5"/>
      <c r="P12" s="5"/>
      <c r="Q12" s="5"/>
      <c r="R12" s="5"/>
      <c r="S12" s="5"/>
      <c r="T12" s="5"/>
      <c r="U12" s="5"/>
      <c r="V12" s="5"/>
      <c r="W12" s="5"/>
      <c r="X12" s="5"/>
      <c r="Y12" s="5"/>
      <c r="Z12" s="6"/>
    </row>
    <row r="13" spans="1:26">
      <c r="A13" s="27">
        <v>9</v>
      </c>
      <c r="B13" s="26" t="s">
        <v>58</v>
      </c>
      <c r="C13" s="20"/>
      <c r="D13" s="21"/>
      <c r="E13" s="21"/>
      <c r="F13" s="5"/>
      <c r="G13" s="5"/>
      <c r="H13" s="5"/>
      <c r="I13" s="5"/>
      <c r="J13" s="5"/>
      <c r="K13" s="5"/>
      <c r="L13" s="5"/>
      <c r="M13" s="5"/>
      <c r="N13" s="5"/>
      <c r="O13" s="5"/>
      <c r="P13" s="5"/>
      <c r="Q13" s="5"/>
      <c r="R13" s="5"/>
      <c r="S13" s="5"/>
      <c r="T13" s="5"/>
      <c r="U13" s="5"/>
      <c r="V13" s="5"/>
      <c r="W13" s="5"/>
      <c r="X13" s="5"/>
      <c r="Y13" s="5"/>
      <c r="Z13" s="6"/>
    </row>
    <row r="14" spans="1:26">
      <c r="A14" s="27">
        <v>10</v>
      </c>
      <c r="B14" s="26" t="s">
        <v>59</v>
      </c>
      <c r="C14" s="20"/>
      <c r="D14" s="21"/>
      <c r="E14" s="21"/>
      <c r="F14" s="5"/>
      <c r="G14" s="5"/>
      <c r="H14" s="5"/>
      <c r="I14" s="5"/>
      <c r="J14" s="5"/>
      <c r="K14" s="5"/>
      <c r="L14" s="5"/>
      <c r="M14" s="5"/>
      <c r="N14" s="5"/>
      <c r="O14" s="5"/>
      <c r="P14" s="5"/>
      <c r="Q14" s="5"/>
      <c r="R14" s="5"/>
      <c r="S14" s="5"/>
      <c r="T14" s="5"/>
      <c r="U14" s="5"/>
      <c r="V14" s="5"/>
      <c r="W14" s="5"/>
      <c r="X14" s="5"/>
      <c r="Y14" s="5"/>
      <c r="Z14" s="6"/>
    </row>
    <row r="15" spans="1:26">
      <c r="A15" s="27">
        <v>11</v>
      </c>
      <c r="B15" s="26" t="s">
        <v>59</v>
      </c>
      <c r="C15" s="20"/>
      <c r="D15" s="21"/>
      <c r="E15" s="21"/>
      <c r="F15" s="5"/>
      <c r="G15" s="5"/>
      <c r="H15" s="5"/>
      <c r="I15" s="5"/>
      <c r="J15" s="5"/>
      <c r="K15" s="5"/>
      <c r="L15" s="5"/>
      <c r="M15" s="5"/>
      <c r="N15" s="5"/>
      <c r="O15" s="5"/>
      <c r="P15" s="5"/>
      <c r="Q15" s="5"/>
      <c r="R15" s="5"/>
      <c r="S15" s="5"/>
      <c r="T15" s="5"/>
      <c r="U15" s="5"/>
      <c r="V15" s="5"/>
      <c r="W15" s="5"/>
      <c r="X15" s="5"/>
      <c r="Y15" s="5"/>
      <c r="Z15" s="6"/>
    </row>
    <row r="16" spans="1:26">
      <c r="A16" s="27">
        <v>12</v>
      </c>
      <c r="B16" s="26" t="s">
        <v>58</v>
      </c>
      <c r="C16" s="20"/>
      <c r="D16" s="21"/>
      <c r="E16" s="21"/>
      <c r="F16" s="5"/>
      <c r="G16" s="5"/>
      <c r="H16" s="5"/>
      <c r="I16" s="5"/>
      <c r="J16" s="5"/>
      <c r="K16" s="5"/>
      <c r="L16" s="5"/>
      <c r="M16" s="5"/>
      <c r="N16" s="5"/>
      <c r="O16" s="5"/>
      <c r="P16" s="5"/>
      <c r="Q16" s="5"/>
      <c r="R16" s="5"/>
      <c r="S16" s="5"/>
      <c r="T16" s="5"/>
      <c r="U16" s="5"/>
      <c r="V16" s="5"/>
      <c r="W16" s="5"/>
      <c r="X16" s="5"/>
      <c r="Y16" s="5"/>
      <c r="Z16" s="6"/>
    </row>
    <row r="17" spans="1:26">
      <c r="A17" s="27">
        <v>13</v>
      </c>
      <c r="B17" s="26" t="s">
        <v>58</v>
      </c>
      <c r="C17" s="20"/>
      <c r="D17" s="21"/>
      <c r="E17" s="21"/>
      <c r="F17" s="5"/>
      <c r="G17" s="5"/>
      <c r="H17" s="5"/>
      <c r="I17" s="5"/>
      <c r="J17" s="5"/>
      <c r="K17" s="5"/>
      <c r="L17" s="5"/>
      <c r="M17" s="5"/>
      <c r="N17" s="5"/>
      <c r="O17" s="5"/>
      <c r="P17" s="5"/>
      <c r="Q17" s="5"/>
      <c r="R17" s="5"/>
      <c r="S17" s="5"/>
      <c r="T17" s="5"/>
      <c r="U17" s="5"/>
      <c r="V17" s="5"/>
      <c r="W17" s="5"/>
      <c r="X17" s="5"/>
      <c r="Y17" s="5"/>
      <c r="Z17" s="6"/>
    </row>
    <row r="18" spans="1:26">
      <c r="A18" s="27">
        <v>14</v>
      </c>
      <c r="B18" s="26" t="s">
        <v>59</v>
      </c>
      <c r="C18" s="20"/>
      <c r="D18" s="21"/>
      <c r="E18" s="21"/>
      <c r="F18" s="5"/>
      <c r="G18" s="5"/>
      <c r="H18" s="5"/>
      <c r="I18" s="5"/>
      <c r="J18" s="5"/>
      <c r="K18" s="5"/>
      <c r="L18" s="5"/>
      <c r="M18" s="5"/>
      <c r="N18" s="5"/>
      <c r="O18" s="5"/>
      <c r="P18" s="5"/>
      <c r="Q18" s="5"/>
      <c r="R18" s="5"/>
      <c r="S18" s="5"/>
      <c r="T18" s="5"/>
      <c r="U18" s="5"/>
      <c r="V18" s="5"/>
      <c r="W18" s="5"/>
      <c r="X18" s="5"/>
      <c r="Y18" s="5"/>
      <c r="Z18" s="6"/>
    </row>
    <row r="19" spans="1:26">
      <c r="A19" s="27">
        <v>15</v>
      </c>
      <c r="B19" s="26" t="s">
        <v>59</v>
      </c>
      <c r="C19" s="20"/>
      <c r="D19" s="21"/>
      <c r="E19" s="21"/>
      <c r="F19" s="5"/>
      <c r="G19" s="5"/>
      <c r="H19" s="5"/>
      <c r="I19" s="5"/>
      <c r="J19" s="5"/>
      <c r="K19" s="5"/>
      <c r="L19" s="5"/>
      <c r="M19" s="5"/>
      <c r="N19" s="5"/>
      <c r="O19" s="5"/>
      <c r="P19" s="5"/>
      <c r="Q19" s="5"/>
      <c r="R19" s="5"/>
      <c r="S19" s="5"/>
      <c r="T19" s="5"/>
      <c r="U19" s="5"/>
      <c r="V19" s="5"/>
      <c r="W19" s="5"/>
      <c r="X19" s="5"/>
      <c r="Y19" s="5"/>
      <c r="Z19" s="6"/>
    </row>
    <row r="20" spans="1:26">
      <c r="A20" s="27">
        <v>16</v>
      </c>
      <c r="B20" s="26" t="s">
        <v>58</v>
      </c>
      <c r="C20" s="20"/>
      <c r="D20" s="21"/>
      <c r="E20" s="21"/>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Stephen Ebeck</cp:lastModifiedBy>
  <cp:revision/>
  <dcterms:created xsi:type="dcterms:W3CDTF">2026-08-03T13:07:02Z</dcterms:created>
  <dcterms:modified xsi:type="dcterms:W3CDTF">2026-08-25T15:10:30Z</dcterms:modified>
  <cp:category/>
  <cp:contentStatus/>
</cp:coreProperties>
</file>
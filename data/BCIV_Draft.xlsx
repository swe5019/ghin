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defaultThemeVersion="166925"/>
  <xr:revisionPtr revIDLastSave="426" documentId="11_E60897F41BE170836B02CE998F75CCDC64E183C8" xr6:coauthVersionLast="47" xr6:coauthVersionMax="47" xr10:uidLastSave="{5464CF23-7F93-4D4E-8A2E-3E93952D8583}"/>
  <bookViews>
    <workbookView xWindow="240" yWindow="105" windowWidth="14805" windowHeight="8010" firstSheet="1" activeTab="1" xr2:uid="{00000000-000D-0000-FFFF-FFFF00000000}"/>
  </bookViews>
  <sheets>
    <sheet name="Instructions" sheetId="1" r:id="rId1"/>
    <sheet name="Round Log" sheetId="2" r:id="rId2"/>
    <sheet name="Golfer Summary" sheetId="3" r:id="rId3"/>
    <sheet name="Draft Tracker"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64" i="2" l="1"/>
  <c r="H65" i="2"/>
  <c r="H62" i="2"/>
  <c r="H63" i="2"/>
  <c r="H61" i="2"/>
  <c r="H5" i="2"/>
  <c r="H52" i="2"/>
  <c r="H53" i="2"/>
  <c r="H54" i="2"/>
  <c r="H55" i="2"/>
  <c r="H56" i="2"/>
  <c r="H57" i="2"/>
  <c r="H58" i="2"/>
  <c r="H59" i="2"/>
  <c r="H60" i="2"/>
  <c r="H49" i="2"/>
  <c r="H50" i="2"/>
  <c r="H51" i="2"/>
  <c r="H48" i="2"/>
  <c r="H42" i="2"/>
  <c r="H43" i="2"/>
  <c r="H44" i="2"/>
  <c r="H45" i="2"/>
  <c r="H46" i="2"/>
  <c r="H47" i="2"/>
  <c r="C5" i="3"/>
  <c r="D5" i="3"/>
  <c r="E5" i="3"/>
  <c r="F5" i="3"/>
  <c r="G5" i="3"/>
  <c r="C6" i="3"/>
  <c r="D6" i="3"/>
  <c r="E6" i="3"/>
  <c r="F6" i="3"/>
  <c r="G6" i="3"/>
  <c r="C7" i="3"/>
  <c r="D7" i="3"/>
  <c r="E7" i="3"/>
  <c r="F7" i="3"/>
  <c r="G7" i="3"/>
  <c r="C8" i="3"/>
  <c r="D8" i="3"/>
  <c r="E8" i="3"/>
  <c r="F8" i="3"/>
  <c r="G8" i="3"/>
  <c r="C9" i="3"/>
  <c r="D9" i="3"/>
  <c r="E9" i="3"/>
  <c r="F9" i="3"/>
  <c r="G9" i="3"/>
  <c r="C10" i="3"/>
  <c r="D10" i="3"/>
  <c r="E10" i="3"/>
  <c r="F10" i="3"/>
  <c r="G10" i="3"/>
  <c r="C11" i="3"/>
  <c r="D11" i="3"/>
  <c r="E11" i="3"/>
  <c r="F11" i="3"/>
  <c r="G11" i="3"/>
  <c r="C12" i="3"/>
  <c r="D12" i="3"/>
  <c r="E12" i="3"/>
  <c r="F12" i="3"/>
  <c r="G12" i="3"/>
  <c r="C13" i="3"/>
  <c r="D13" i="3"/>
  <c r="E13" i="3"/>
  <c r="F13" i="3"/>
  <c r="G13" i="3"/>
  <c r="C14" i="3"/>
  <c r="D14" i="3"/>
  <c r="E14" i="3"/>
  <c r="F14" i="3"/>
  <c r="G14" i="3"/>
  <c r="C15" i="3"/>
  <c r="D15" i="3"/>
  <c r="E15" i="3"/>
  <c r="F15" i="3"/>
  <c r="G15" i="3"/>
  <c r="C16" i="3"/>
  <c r="D16" i="3"/>
  <c r="E16" i="3"/>
  <c r="F16" i="3"/>
  <c r="G16" i="3"/>
  <c r="C17" i="3"/>
  <c r="D17" i="3"/>
  <c r="E17" i="3"/>
  <c r="F17" i="3"/>
  <c r="G17" i="3"/>
  <c r="C18" i="3"/>
  <c r="D18" i="3"/>
  <c r="E18" i="3"/>
  <c r="F18" i="3"/>
  <c r="G18" i="3"/>
  <c r="C19" i="3"/>
  <c r="D19" i="3"/>
  <c r="E19" i="3"/>
  <c r="F19" i="3"/>
  <c r="G19" i="3"/>
  <c r="C4" i="3"/>
  <c r="E5" i="4"/>
  <c r="D5" i="4"/>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6" i="2"/>
  <c r="E4" i="3" l="1"/>
  <c r="D4" i="3"/>
  <c r="F4" i="3" l="1"/>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<sst xmlns="http://schemas.openxmlformats.org/spreadsheetml/2006/main" count="139" uniqueCount="59">
  <si>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</si>
  <si>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</si>
  <si>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</si>
  <si>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</si>
  <si>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</si>
  <si>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</si>
  <si>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</si>
  <si>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</si>
  <si>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</si>
  <si>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</si>
  <si>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</si>
  <si>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</si>
  <si>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</si>
  <si>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</si>
  <si>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</si>
  <si>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</si>
  <si>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</si>
  <si>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</si>
  <si>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</si>
  <si>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</si>
  <si>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</si>
  <si>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</si>
  <si>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</si>
  <si>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</si>
  <si>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</si>
  <si>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</si>
  <si>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Sean Dainese</t>
  </si>
  <si>
    <t>Pat Coughlin</t>
  </si>
  <si>
    <t>Jared Fincke</t>
  </si>
  <si>
    <t>Matt Kujava</t>
  </si>
  <si>
    <t>Ben McClure</t>
  </si>
  <si>
    <t>Mark Boardman</t>
  </si>
  <si>
    <t>Phil Bortz</t>
  </si>
  <si>
    <t>Dan Cosentino</t>
  </si>
  <si>
    <t>Dave McLean</t>
  </si>
  <si>
    <t>Alex Smith</t>
  </si>
  <si>
    <t>Craig Zimmerman</t>
  </si>
  <si>
    <t>Paul Schappell</t>
  </si>
  <si>
    <t>Stephen Ebeck</t>
  </si>
  <si>
    <t>Tim Onushco</t>
  </si>
  <si>
    <t>Aaron Maize</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</si>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</sst>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abSelected="1" topLeftCell="A52" workbookViewId="0">
      <selection activeCell="F66" sqref="F66"/>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46204</v>
      </c>
      <c r="C5" s="19"/>
      <c r="D5" s="19"/>
      <c r="E5" s="19">
        <v>74</v>
      </c>
      <c r="F5" s="19">
        <v>141</v>
      </c>
      <c r="G5" s="19">
        <v>74</v>
      </c>
      <c r="H5" s="18">
        <f>IF(OR(A5="",E5="",F5="",G5=""),"",(G5-E5)*113/F5)</f>
        <v>0</v>
      </c>
      <c r="I5" s="5"/>
      <c r="J5" s="5"/>
      <c r="K5" s="5"/>
      <c r="L5" s="5"/>
      <c r="M5" s="5"/>
      <c r="N5" s="5"/>
      <c r="O5" s="5"/>
      <c r="P5" s="5"/>
      <c r="Q5" s="5"/>
      <c r="R5" s="5"/>
      <c r="S5" s="5"/>
      <c r="T5" s="5"/>
      <c r="U5" s="5"/>
      <c r="V5" s="5"/>
      <c r="W5" s="5"/>
      <c r="X5" s="5"/>
      <c r="Y5" s="5"/>
      <c r="Z5" s="6"/>
    </row>
    <row r="6" spans="1:26">
      <c r="A6" s="19" t="s">
        <v>26</v>
      </c>
      <c r="B6" s="29">
        <v>46204</v>
      </c>
      <c r="C6" s="20"/>
      <c r="D6" s="20"/>
      <c r="E6" s="20">
        <v>72.400000000000006</v>
      </c>
      <c r="F6" s="20">
        <v>135</v>
      </c>
      <c r="G6" s="20">
        <v>76</v>
      </c>
      <c r="H6" s="18">
        <f>IF(OR(A6="",E6="",F6="",G6=""),"",(G6-E6)*113/F6)</f>
        <v>3.0133333333333288</v>
      </c>
      <c r="I6" s="5"/>
      <c r="J6" s="5"/>
      <c r="K6" s="5"/>
      <c r="L6" s="5"/>
      <c r="M6" s="5"/>
      <c r="N6" s="5"/>
      <c r="O6" s="5"/>
      <c r="P6" s="5"/>
      <c r="Q6" s="5"/>
      <c r="R6" s="5"/>
      <c r="S6" s="5"/>
      <c r="T6" s="5"/>
      <c r="U6" s="5"/>
      <c r="V6" s="5"/>
      <c r="W6" s="5"/>
      <c r="X6" s="5"/>
      <c r="Y6" s="5"/>
      <c r="Z6" s="6"/>
    </row>
    <row r="7" spans="1:26">
      <c r="A7" s="19" t="s">
        <v>26</v>
      </c>
      <c r="B7" s="29">
        <v>46204</v>
      </c>
      <c r="C7" s="20"/>
      <c r="D7" s="20"/>
      <c r="E7" s="20">
        <v>71.5</v>
      </c>
      <c r="F7" s="20">
        <v>129</v>
      </c>
      <c r="G7" s="20">
        <v>76</v>
      </c>
      <c r="H7" s="18">
        <f t="shared" ref="H7:H65" si="0">IF(OR(A7="",E7="",F7="",G7=""),"",(G7-E7)*113/F7)</f>
        <v>3.941860465116279</v>
      </c>
      <c r="I7" s="5"/>
      <c r="J7" s="5"/>
      <c r="K7" s="5"/>
      <c r="L7" s="5"/>
      <c r="M7" s="5"/>
      <c r="N7" s="5"/>
      <c r="O7" s="5"/>
      <c r="P7" s="5"/>
      <c r="Q7" s="5"/>
      <c r="R7" s="5"/>
      <c r="S7" s="5"/>
      <c r="T7" s="5"/>
      <c r="U7" s="5"/>
      <c r="V7" s="5"/>
      <c r="W7" s="5"/>
      <c r="X7" s="5"/>
      <c r="Y7" s="5"/>
      <c r="Z7" s="6"/>
    </row>
    <row r="8" spans="1:26">
      <c r="A8" s="19" t="s">
        <v>27</v>
      </c>
      <c r="B8" s="29">
        <v>46204</v>
      </c>
      <c r="C8" s="20"/>
      <c r="D8" s="20"/>
      <c r="E8" s="20">
        <v>70.3</v>
      </c>
      <c r="F8" s="20">
        <v>130</v>
      </c>
      <c r="G8" s="20">
        <v>87</v>
      </c>
      <c r="H8" s="18">
        <f t="shared" si="0"/>
        <v>14.516153846153848</v>
      </c>
      <c r="I8" s="5"/>
      <c r="J8" s="5"/>
      <c r="K8" s="5"/>
      <c r="L8" s="5"/>
      <c r="M8" s="5"/>
      <c r="N8" s="5"/>
      <c r="O8" s="5"/>
      <c r="P8" s="5"/>
      <c r="Q8" s="5"/>
      <c r="R8" s="5"/>
      <c r="S8" s="5"/>
      <c r="T8" s="5"/>
      <c r="U8" s="5"/>
      <c r="V8" s="5"/>
      <c r="W8" s="5"/>
      <c r="X8" s="5"/>
      <c r="Y8" s="5"/>
      <c r="Z8" s="6"/>
    </row>
    <row r="9" spans="1:26">
      <c r="A9" s="19" t="s">
        <v>27</v>
      </c>
      <c r="B9" s="29">
        <v>46204</v>
      </c>
      <c r="C9" s="20"/>
      <c r="D9" s="20"/>
      <c r="E9" s="20">
        <v>71.099999999999994</v>
      </c>
      <c r="F9" s="20">
        <v>126</v>
      </c>
      <c r="G9" s="20">
        <v>95</v>
      </c>
      <c r="H9" s="18">
        <f t="shared" si="0"/>
        <v>21.434126984126991</v>
      </c>
      <c r="I9" s="5"/>
      <c r="J9" s="5"/>
      <c r="K9" s="5"/>
      <c r="L9" s="5"/>
      <c r="M9" s="5"/>
      <c r="N9" s="5"/>
      <c r="O9" s="5"/>
      <c r="P9" s="5"/>
      <c r="Q9" s="5"/>
      <c r="R9" s="5"/>
      <c r="S9" s="5"/>
      <c r="T9" s="5"/>
      <c r="U9" s="5"/>
      <c r="V9" s="5"/>
      <c r="W9" s="5"/>
      <c r="X9" s="5"/>
      <c r="Y9" s="5"/>
      <c r="Z9" s="6"/>
    </row>
    <row r="10" spans="1:26">
      <c r="A10" s="19" t="s">
        <v>27</v>
      </c>
      <c r="B10" s="29">
        <v>46174</v>
      </c>
      <c r="C10" s="20"/>
      <c r="D10" s="20"/>
      <c r="E10" s="20">
        <v>71.400000000000006</v>
      </c>
      <c r="F10" s="20">
        <v>130</v>
      </c>
      <c r="G10" s="20">
        <v>91</v>
      </c>
      <c r="H10" s="18">
        <f t="shared" si="0"/>
        <v>17.03692307692307</v>
      </c>
      <c r="I10" s="5"/>
      <c r="J10" s="5"/>
      <c r="K10" s="5"/>
      <c r="L10" s="5"/>
      <c r="M10" s="5"/>
      <c r="N10" s="5"/>
      <c r="O10" s="5"/>
      <c r="P10" s="5"/>
      <c r="Q10" s="5"/>
      <c r="R10" s="5"/>
      <c r="S10" s="5"/>
      <c r="T10" s="5"/>
      <c r="U10" s="5"/>
      <c r="V10" s="5"/>
      <c r="W10" s="5"/>
      <c r="X10" s="5"/>
      <c r="Y10" s="5"/>
      <c r="Z10" s="6"/>
    </row>
    <row r="11" spans="1:26">
      <c r="A11" s="19" t="s">
        <v>27</v>
      </c>
      <c r="B11" s="29">
        <v>46174</v>
      </c>
      <c r="C11" s="20"/>
      <c r="D11" s="20"/>
      <c r="E11" s="20">
        <v>71.099999999999994</v>
      </c>
      <c r="F11" s="20">
        <v>126</v>
      </c>
      <c r="G11" s="20">
        <v>91</v>
      </c>
      <c r="H11" s="18">
        <f t="shared" si="0"/>
        <v>17.846825396825402</v>
      </c>
      <c r="I11" s="5"/>
      <c r="J11" s="5"/>
      <c r="K11" s="5"/>
      <c r="L11" s="5"/>
      <c r="M11" s="5"/>
      <c r="N11" s="5"/>
      <c r="O11" s="5"/>
      <c r="P11" s="5"/>
      <c r="Q11" s="5"/>
      <c r="R11" s="5"/>
      <c r="S11" s="5"/>
      <c r="T11" s="5"/>
      <c r="U11" s="5"/>
      <c r="V11" s="5"/>
      <c r="W11" s="5"/>
      <c r="X11" s="5"/>
      <c r="Y11" s="5"/>
      <c r="Z11" s="6"/>
    </row>
    <row r="12" spans="1:26">
      <c r="A12" s="19" t="s">
        <v>28</v>
      </c>
      <c r="B12" s="29">
        <v>46204</v>
      </c>
      <c r="C12" s="20"/>
      <c r="D12" s="20"/>
      <c r="E12" s="20">
        <v>71.3</v>
      </c>
      <c r="F12" s="20">
        <v>128</v>
      </c>
      <c r="G12" s="20">
        <v>86</v>
      </c>
      <c r="H12" s="18">
        <f t="shared" si="0"/>
        <v>12.977343750000003</v>
      </c>
      <c r="I12" s="5"/>
      <c r="J12" s="5"/>
      <c r="K12" s="5"/>
      <c r="L12" s="5"/>
      <c r="M12" s="5"/>
      <c r="N12" s="5"/>
      <c r="O12" s="5"/>
      <c r="P12" s="5"/>
      <c r="Q12" s="5"/>
      <c r="R12" s="5"/>
      <c r="S12" s="5"/>
      <c r="T12" s="5"/>
      <c r="U12" s="5"/>
      <c r="V12" s="5"/>
      <c r="W12" s="5"/>
      <c r="X12" s="5"/>
      <c r="Y12" s="5"/>
      <c r="Z12" s="6"/>
    </row>
    <row r="13" spans="1:26">
      <c r="A13" s="19" t="s">
        <v>28</v>
      </c>
      <c r="B13" s="29">
        <v>46204</v>
      </c>
      <c r="C13" s="20"/>
      <c r="D13" s="20"/>
      <c r="E13" s="20">
        <v>71.599999999999994</v>
      </c>
      <c r="F13" s="20">
        <v>128</v>
      </c>
      <c r="G13" s="20">
        <v>95</v>
      </c>
      <c r="H13" s="18">
        <f t="shared" si="0"/>
        <v>20.657812500000006</v>
      </c>
      <c r="I13" s="5"/>
      <c r="J13" s="5"/>
      <c r="K13" s="5"/>
      <c r="L13" s="5"/>
      <c r="M13" s="5"/>
      <c r="N13" s="5"/>
      <c r="O13" s="5"/>
      <c r="P13" s="5"/>
      <c r="Q13" s="5"/>
      <c r="R13" s="5"/>
      <c r="S13" s="5"/>
      <c r="T13" s="5"/>
      <c r="U13" s="5"/>
      <c r="V13" s="5"/>
      <c r="W13" s="5"/>
      <c r="X13" s="5"/>
      <c r="Y13" s="5"/>
      <c r="Z13" s="6"/>
    </row>
    <row r="14" spans="1:26">
      <c r="A14" s="19" t="s">
        <v>28</v>
      </c>
      <c r="B14" s="29">
        <v>46204</v>
      </c>
      <c r="C14" s="20"/>
      <c r="D14" s="20"/>
      <c r="E14" s="20">
        <v>70.400000000000006</v>
      </c>
      <c r="F14" s="20">
        <v>131</v>
      </c>
      <c r="G14" s="20">
        <v>90</v>
      </c>
      <c r="H14" s="18">
        <f t="shared" si="0"/>
        <v>16.906870229007627</v>
      </c>
      <c r="I14" s="5"/>
      <c r="J14" s="5"/>
      <c r="K14" s="5"/>
      <c r="L14" s="5"/>
      <c r="M14" s="5"/>
      <c r="N14" s="5"/>
      <c r="O14" s="5"/>
      <c r="P14" s="5"/>
      <c r="Q14" s="5"/>
      <c r="R14" s="5"/>
      <c r="S14" s="5"/>
      <c r="T14" s="5"/>
      <c r="U14" s="5"/>
      <c r="V14" s="5"/>
      <c r="W14" s="5"/>
      <c r="X14" s="5"/>
      <c r="Y14" s="5"/>
      <c r="Z14" s="6"/>
    </row>
    <row r="15" spans="1:26">
      <c r="A15" s="19" t="s">
        <v>28</v>
      </c>
      <c r="B15" s="29">
        <v>46204</v>
      </c>
      <c r="C15" s="20"/>
      <c r="D15" s="20"/>
      <c r="E15" s="20">
        <v>69.599999999999994</v>
      </c>
      <c r="F15" s="20">
        <v>134</v>
      </c>
      <c r="G15" s="20">
        <v>84</v>
      </c>
      <c r="H15" s="18">
        <f t="shared" si="0"/>
        <v>12.143283582089557</v>
      </c>
      <c r="I15" s="5"/>
      <c r="J15" s="5"/>
      <c r="K15" s="5"/>
      <c r="L15" s="5"/>
      <c r="M15" s="5"/>
      <c r="N15" s="5"/>
      <c r="O15" s="5"/>
      <c r="P15" s="5"/>
      <c r="Q15" s="5"/>
      <c r="R15" s="5"/>
      <c r="S15" s="5"/>
      <c r="T15" s="5"/>
      <c r="U15" s="5"/>
      <c r="V15" s="5"/>
      <c r="W15" s="5"/>
      <c r="X15" s="5"/>
      <c r="Y15" s="5"/>
      <c r="Z15" s="6"/>
    </row>
    <row r="16" spans="1:26">
      <c r="A16" s="19" t="s">
        <v>29</v>
      </c>
      <c r="B16" s="29">
        <v>46204</v>
      </c>
      <c r="C16" s="20"/>
      <c r="D16" s="20"/>
      <c r="E16" s="20">
        <v>71.3</v>
      </c>
      <c r="F16" s="20">
        <v>128</v>
      </c>
      <c r="G16" s="20">
        <v>91</v>
      </c>
      <c r="H16" s="18">
        <f t="shared" si="0"/>
        <v>17.391406250000003</v>
      </c>
      <c r="I16" s="5"/>
      <c r="J16" s="5"/>
      <c r="K16" s="5"/>
      <c r="L16" s="5"/>
      <c r="M16" s="5"/>
      <c r="N16" s="5"/>
      <c r="O16" s="5"/>
      <c r="P16" s="5"/>
      <c r="Q16" s="5"/>
      <c r="R16" s="5"/>
      <c r="S16" s="5"/>
      <c r="T16" s="5"/>
      <c r="U16" s="5"/>
      <c r="V16" s="5"/>
      <c r="W16" s="5"/>
      <c r="X16" s="5"/>
      <c r="Y16" s="5"/>
      <c r="Z16" s="6"/>
    </row>
    <row r="17" spans="1:26">
      <c r="A17" s="19" t="s">
        <v>29</v>
      </c>
      <c r="B17" s="29">
        <v>46204</v>
      </c>
      <c r="C17" s="20"/>
      <c r="D17" s="20"/>
      <c r="E17" s="20">
        <v>71.599999999999994</v>
      </c>
      <c r="F17" s="20">
        <v>128</v>
      </c>
      <c r="G17" s="20">
        <v>85</v>
      </c>
      <c r="H17" s="18">
        <f t="shared" si="0"/>
        <v>11.829687500000006</v>
      </c>
      <c r="I17" s="5"/>
      <c r="J17" s="5"/>
      <c r="K17" s="5"/>
      <c r="L17" s="5"/>
      <c r="M17" s="5"/>
      <c r="N17" s="5"/>
      <c r="O17" s="5"/>
      <c r="P17" s="5"/>
      <c r="Q17" s="5"/>
      <c r="R17" s="5"/>
      <c r="S17" s="5"/>
      <c r="T17" s="5"/>
      <c r="U17" s="5"/>
      <c r="V17" s="5"/>
      <c r="W17" s="5"/>
      <c r="X17" s="5"/>
      <c r="Y17" s="5"/>
      <c r="Z17" s="6"/>
    </row>
    <row r="18" spans="1:26">
      <c r="A18" s="19" t="s">
        <v>29</v>
      </c>
      <c r="B18" s="29">
        <v>46204</v>
      </c>
      <c r="C18" s="20"/>
      <c r="D18" s="20"/>
      <c r="E18" s="20">
        <v>72.8</v>
      </c>
      <c r="F18" s="20">
        <v>139</v>
      </c>
      <c r="G18" s="20">
        <v>92</v>
      </c>
      <c r="H18" s="18">
        <f t="shared" si="0"/>
        <v>15.608633093525183</v>
      </c>
      <c r="I18" s="5"/>
      <c r="J18" s="5"/>
      <c r="K18" s="5"/>
      <c r="L18" s="5"/>
      <c r="M18" s="5"/>
      <c r="N18" s="5"/>
      <c r="O18" s="5"/>
      <c r="P18" s="5"/>
      <c r="Q18" s="5"/>
      <c r="R18" s="5"/>
      <c r="S18" s="5"/>
      <c r="T18" s="5"/>
      <c r="U18" s="5"/>
      <c r="V18" s="5"/>
      <c r="W18" s="5"/>
      <c r="X18" s="5"/>
      <c r="Y18" s="5"/>
      <c r="Z18" s="6"/>
    </row>
    <row r="19" spans="1:26">
      <c r="A19" s="19" t="s">
        <v>30</v>
      </c>
      <c r="B19" s="29">
        <v>46235</v>
      </c>
      <c r="C19" s="20"/>
      <c r="D19" s="20"/>
      <c r="E19" s="20">
        <v>72.2</v>
      </c>
      <c r="F19" s="20">
        <v>135</v>
      </c>
      <c r="G19" s="20">
        <v>103</v>
      </c>
      <c r="H19" s="18">
        <f t="shared" si="0"/>
        <v>25.78074074074074</v>
      </c>
      <c r="I19" s="5"/>
      <c r="J19" s="5"/>
      <c r="K19" s="5"/>
      <c r="L19" s="5"/>
      <c r="M19" s="5"/>
      <c r="N19" s="5"/>
      <c r="O19" s="5"/>
      <c r="P19" s="5"/>
      <c r="Q19" s="5"/>
      <c r="R19" s="5"/>
      <c r="S19" s="5"/>
      <c r="T19" s="5"/>
      <c r="U19" s="5"/>
      <c r="V19" s="5"/>
      <c r="W19" s="5"/>
      <c r="X19" s="5"/>
      <c r="Y19" s="5"/>
      <c r="Z19" s="6"/>
    </row>
    <row r="20" spans="1:26">
      <c r="A20" s="19" t="s">
        <v>30</v>
      </c>
      <c r="B20" s="29">
        <v>46235</v>
      </c>
      <c r="C20" s="20"/>
      <c r="D20" s="20"/>
      <c r="E20" s="20">
        <v>72.2</v>
      </c>
      <c r="F20" s="20">
        <v>135</v>
      </c>
      <c r="G20" s="20">
        <v>97</v>
      </c>
      <c r="H20" s="18">
        <f t="shared" si="0"/>
        <v>20.758518518518517</v>
      </c>
      <c r="I20" s="5"/>
      <c r="J20" s="5"/>
      <c r="K20" s="5"/>
      <c r="L20" s="5"/>
      <c r="M20" s="5"/>
      <c r="N20" s="5"/>
      <c r="O20" s="5"/>
      <c r="P20" s="5"/>
      <c r="Q20" s="5"/>
      <c r="R20" s="5"/>
      <c r="S20" s="5"/>
      <c r="T20" s="5"/>
      <c r="U20" s="5"/>
      <c r="V20" s="5"/>
      <c r="W20" s="5"/>
      <c r="X20" s="5"/>
      <c r="Y20" s="5"/>
      <c r="Z20" s="6"/>
    </row>
    <row r="21" spans="1:26">
      <c r="A21" s="19" t="s">
        <v>30</v>
      </c>
      <c r="B21" s="29">
        <v>46235</v>
      </c>
      <c r="C21" s="20"/>
      <c r="D21" s="20"/>
      <c r="E21" s="20">
        <v>71.5</v>
      </c>
      <c r="F21" s="20">
        <v>139</v>
      </c>
      <c r="G21" s="20">
        <v>96</v>
      </c>
      <c r="H21" s="18">
        <f t="shared" si="0"/>
        <v>19.917266187050359</v>
      </c>
      <c r="I21" s="5"/>
      <c r="J21" s="5"/>
      <c r="K21" s="5"/>
      <c r="L21" s="5"/>
      <c r="M21" s="5"/>
      <c r="N21" s="5"/>
      <c r="O21" s="5"/>
      <c r="P21" s="5"/>
      <c r="Q21" s="5"/>
      <c r="R21" s="5"/>
      <c r="S21" s="5"/>
      <c r="T21" s="5"/>
      <c r="U21" s="5"/>
      <c r="V21" s="5"/>
      <c r="W21" s="5"/>
      <c r="X21" s="5"/>
      <c r="Y21" s="5"/>
      <c r="Z21" s="6"/>
    </row>
    <row r="22" spans="1:26">
      <c r="A22" s="19" t="s">
        <v>30</v>
      </c>
      <c r="B22" s="29">
        <v>46204</v>
      </c>
      <c r="C22" s="20"/>
      <c r="D22" s="20"/>
      <c r="E22" s="20">
        <v>71.5</v>
      </c>
      <c r="F22" s="20">
        <v>139</v>
      </c>
      <c r="G22" s="20">
        <v>94</v>
      </c>
      <c r="H22" s="18">
        <f t="shared" si="0"/>
        <v>18.291366906474821</v>
      </c>
      <c r="I22" s="5"/>
      <c r="J22" s="5"/>
      <c r="K22" s="5"/>
      <c r="L22" s="5"/>
      <c r="M22" s="5"/>
      <c r="N22" s="5"/>
      <c r="O22" s="5"/>
      <c r="P22" s="5"/>
      <c r="Q22" s="5"/>
      <c r="R22" s="5"/>
      <c r="S22" s="5"/>
      <c r="T22" s="5"/>
      <c r="U22" s="5"/>
      <c r="V22" s="5"/>
      <c r="W22" s="5"/>
      <c r="X22" s="5"/>
      <c r="Y22" s="5"/>
      <c r="Z22" s="6"/>
    </row>
    <row r="23" spans="1:26">
      <c r="A23" s="19" t="s">
        <v>31</v>
      </c>
      <c r="B23" s="29">
        <v>46204</v>
      </c>
      <c r="C23" s="20"/>
      <c r="D23" s="20"/>
      <c r="E23" s="20">
        <v>72.599999999999994</v>
      </c>
      <c r="F23" s="20">
        <v>132</v>
      </c>
      <c r="G23" s="20">
        <v>83</v>
      </c>
      <c r="H23" s="18">
        <f t="shared" si="0"/>
        <v>8.9030303030303077</v>
      </c>
      <c r="I23" s="5"/>
      <c r="J23" s="5"/>
      <c r="K23" s="5"/>
      <c r="L23" s="5"/>
      <c r="M23" s="5"/>
      <c r="N23" s="5"/>
      <c r="O23" s="5"/>
      <c r="P23" s="5"/>
      <c r="Q23" s="5"/>
      <c r="R23" s="5"/>
      <c r="S23" s="5"/>
      <c r="T23" s="5"/>
      <c r="U23" s="5"/>
      <c r="V23" s="5"/>
      <c r="W23" s="5"/>
      <c r="X23" s="5"/>
      <c r="Y23" s="5"/>
      <c r="Z23" s="6"/>
    </row>
    <row r="24" spans="1:26">
      <c r="A24" s="19" t="s">
        <v>31</v>
      </c>
      <c r="B24" s="29">
        <v>46204</v>
      </c>
      <c r="C24" s="20"/>
      <c r="D24" s="20"/>
      <c r="E24" s="20">
        <v>68.599999999999994</v>
      </c>
      <c r="F24" s="20">
        <v>119</v>
      </c>
      <c r="G24" s="20">
        <v>79</v>
      </c>
      <c r="H24" s="18">
        <f t="shared" si="0"/>
        <v>9.8756302521008461</v>
      </c>
      <c r="I24" s="5"/>
      <c r="J24" s="5"/>
      <c r="K24" s="5"/>
      <c r="L24" s="5"/>
      <c r="M24" s="5"/>
      <c r="N24" s="5"/>
      <c r="O24" s="5"/>
      <c r="P24" s="5"/>
      <c r="Q24" s="5"/>
      <c r="R24" s="5"/>
      <c r="S24" s="5"/>
      <c r="T24" s="5"/>
      <c r="U24" s="5"/>
      <c r="V24" s="5"/>
      <c r="W24" s="5"/>
      <c r="X24" s="5"/>
      <c r="Y24" s="5"/>
      <c r="Z24" s="6"/>
    </row>
    <row r="25" spans="1:26">
      <c r="A25" s="19" t="s">
        <v>31</v>
      </c>
      <c r="B25" s="29">
        <v>46204</v>
      </c>
      <c r="C25" s="20"/>
      <c r="D25" s="20"/>
      <c r="E25" s="20">
        <v>70.3</v>
      </c>
      <c r="F25" s="20">
        <v>130</v>
      </c>
      <c r="G25" s="20">
        <v>76</v>
      </c>
      <c r="H25" s="18">
        <f t="shared" si="0"/>
        <v>4.9546153846153871</v>
      </c>
      <c r="I25" s="5"/>
      <c r="J25" s="5"/>
      <c r="K25" s="5"/>
      <c r="L25" s="5"/>
      <c r="M25" s="5"/>
      <c r="N25" s="5"/>
      <c r="O25" s="5"/>
      <c r="P25" s="5"/>
      <c r="Q25" s="5"/>
      <c r="R25" s="5"/>
      <c r="S25" s="5"/>
      <c r="T25" s="5"/>
      <c r="U25" s="5"/>
      <c r="V25" s="5"/>
      <c r="W25" s="5"/>
      <c r="X25" s="5"/>
      <c r="Y25" s="5"/>
      <c r="Z25" s="6"/>
    </row>
    <row r="26" spans="1:26">
      <c r="A26" s="19" t="s">
        <v>31</v>
      </c>
      <c r="B26" s="29">
        <v>46204</v>
      </c>
      <c r="C26" s="20"/>
      <c r="D26" s="20"/>
      <c r="E26" s="20">
        <v>71.099999999999994</v>
      </c>
      <c r="F26" s="20">
        <v>126</v>
      </c>
      <c r="G26" s="20">
        <v>84</v>
      </c>
      <c r="H26" s="18">
        <f t="shared" si="0"/>
        <v>11.569047619047625</v>
      </c>
      <c r="I26" s="5"/>
      <c r="J26" s="5"/>
      <c r="K26" s="5"/>
      <c r="L26" s="5"/>
      <c r="M26" s="5"/>
      <c r="N26" s="5"/>
      <c r="O26" s="5"/>
      <c r="P26" s="5"/>
      <c r="Q26" s="5"/>
      <c r="R26" s="5"/>
      <c r="S26" s="5"/>
      <c r="T26" s="5"/>
      <c r="U26" s="5"/>
      <c r="V26" s="5"/>
      <c r="W26" s="5"/>
      <c r="X26" s="5"/>
      <c r="Y26" s="5"/>
      <c r="Z26" s="6"/>
    </row>
    <row r="27" spans="1:26">
      <c r="A27" s="19" t="s">
        <v>31</v>
      </c>
      <c r="B27" s="29">
        <v>46204</v>
      </c>
      <c r="C27" s="20"/>
      <c r="D27" s="20"/>
      <c r="E27" s="20">
        <v>68.099999999999994</v>
      </c>
      <c r="F27" s="20">
        <v>113</v>
      </c>
      <c r="G27" s="20">
        <v>81</v>
      </c>
      <c r="H27" s="18">
        <f t="shared" si="0"/>
        <v>12.900000000000006</v>
      </c>
      <c r="I27" s="5"/>
      <c r="J27" s="5"/>
      <c r="K27" s="5"/>
      <c r="L27" s="5"/>
      <c r="M27" s="5"/>
      <c r="N27" s="5"/>
      <c r="O27" s="5"/>
      <c r="P27" s="5"/>
      <c r="Q27" s="5"/>
      <c r="R27" s="5"/>
      <c r="S27" s="5"/>
      <c r="T27" s="5"/>
      <c r="U27" s="5"/>
      <c r="V27" s="5"/>
      <c r="W27" s="5"/>
      <c r="X27" s="5"/>
      <c r="Y27" s="5"/>
      <c r="Z27" s="6"/>
    </row>
    <row r="28" spans="1:26">
      <c r="A28" s="19" t="s">
        <v>32</v>
      </c>
      <c r="B28" s="29">
        <v>46174</v>
      </c>
      <c r="C28" s="20"/>
      <c r="D28" s="20"/>
      <c r="E28" s="20">
        <v>71.7</v>
      </c>
      <c r="F28" s="20">
        <v>139</v>
      </c>
      <c r="G28" s="20">
        <v>114</v>
      </c>
      <c r="H28" s="18">
        <f t="shared" si="0"/>
        <v>34.387769784172662</v>
      </c>
      <c r="I28" s="5"/>
      <c r="J28" s="5"/>
      <c r="K28" s="5"/>
      <c r="L28" s="5"/>
      <c r="M28" s="5"/>
      <c r="N28" s="5"/>
      <c r="O28" s="5"/>
      <c r="P28" s="5"/>
      <c r="Q28" s="5"/>
      <c r="R28" s="5"/>
      <c r="S28" s="5"/>
      <c r="T28" s="5"/>
      <c r="U28" s="5"/>
      <c r="V28" s="5"/>
      <c r="W28" s="5"/>
      <c r="X28" s="5"/>
      <c r="Y28" s="5"/>
      <c r="Z28" s="6"/>
    </row>
    <row r="29" spans="1:26">
      <c r="A29" s="19" t="s">
        <v>33</v>
      </c>
      <c r="B29" s="29">
        <v>46143</v>
      </c>
      <c r="C29" s="20"/>
      <c r="D29" s="20"/>
      <c r="E29" s="20">
        <v>70.599999999999994</v>
      </c>
      <c r="F29" s="20">
        <v>132</v>
      </c>
      <c r="G29" s="20">
        <v>103</v>
      </c>
      <c r="H29" s="18">
        <f t="shared" si="0"/>
        <v>27.736363636363642</v>
      </c>
      <c r="I29" s="5"/>
      <c r="J29" s="5"/>
      <c r="K29" s="5"/>
      <c r="L29" s="5"/>
      <c r="M29" s="5"/>
      <c r="N29" s="5"/>
      <c r="O29" s="5"/>
      <c r="P29" s="5"/>
      <c r="Q29" s="5"/>
      <c r="R29" s="5"/>
      <c r="S29" s="5"/>
      <c r="T29" s="5"/>
      <c r="U29" s="5"/>
      <c r="V29" s="5"/>
      <c r="W29" s="5"/>
      <c r="X29" s="5"/>
      <c r="Y29" s="5"/>
      <c r="Z29" s="6"/>
    </row>
    <row r="30" spans="1:26">
      <c r="A30" s="19" t="s">
        <v>33</v>
      </c>
      <c r="B30" s="29">
        <v>46143</v>
      </c>
      <c r="C30" s="20"/>
      <c r="D30" s="20"/>
      <c r="E30" s="20">
        <v>72.400000000000006</v>
      </c>
      <c r="F30" s="20">
        <v>135</v>
      </c>
      <c r="G30" s="20">
        <v>94</v>
      </c>
      <c r="H30" s="18">
        <f t="shared" si="0"/>
        <v>18.079999999999995</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72.7</v>
      </c>
      <c r="F31" s="20">
        <v>134</v>
      </c>
      <c r="G31" s="20">
        <v>78</v>
      </c>
      <c r="H31" s="18">
        <f t="shared" si="0"/>
        <v>4.4694029850746242</v>
      </c>
      <c r="I31" s="5"/>
      <c r="J31" s="5"/>
      <c r="K31" s="5"/>
      <c r="L31" s="5"/>
      <c r="M31" s="5"/>
      <c r="N31" s="5"/>
      <c r="O31" s="5"/>
      <c r="P31" s="5"/>
      <c r="Q31" s="5"/>
      <c r="R31" s="5"/>
      <c r="S31" s="5"/>
      <c r="T31" s="5"/>
      <c r="U31" s="5"/>
      <c r="V31" s="5"/>
      <c r="W31" s="5"/>
      <c r="X31" s="5"/>
      <c r="Y31" s="5"/>
      <c r="Z31" s="6"/>
    </row>
    <row r="32" spans="1:26">
      <c r="A32" s="19" t="s">
        <v>34</v>
      </c>
      <c r="B32" s="29">
        <v>46174</v>
      </c>
      <c r="C32" s="20"/>
      <c r="D32" s="20"/>
      <c r="E32" s="20">
        <v>72.7</v>
      </c>
      <c r="F32" s="20">
        <v>134</v>
      </c>
      <c r="G32" s="20">
        <v>85</v>
      </c>
      <c r="H32" s="18">
        <f t="shared" si="0"/>
        <v>10.372388059701489</v>
      </c>
      <c r="I32" s="5"/>
      <c r="J32" s="5"/>
      <c r="K32" s="5"/>
      <c r="L32" s="5"/>
      <c r="M32" s="5"/>
      <c r="N32" s="5"/>
      <c r="O32" s="5"/>
      <c r="P32" s="5"/>
      <c r="Q32" s="5"/>
      <c r="R32" s="5"/>
      <c r="S32" s="5"/>
      <c r="T32" s="5"/>
      <c r="U32" s="5"/>
      <c r="V32" s="5"/>
      <c r="W32" s="5"/>
      <c r="X32" s="5"/>
      <c r="Y32" s="5"/>
      <c r="Z32" s="6"/>
    </row>
    <row r="33" spans="1:26">
      <c r="A33" s="19" t="s">
        <v>34</v>
      </c>
      <c r="B33" s="29">
        <v>46174</v>
      </c>
      <c r="C33" s="20"/>
      <c r="D33" s="20"/>
      <c r="E33" s="20">
        <v>72.7</v>
      </c>
      <c r="F33" s="20">
        <v>134</v>
      </c>
      <c r="G33" s="20">
        <v>84</v>
      </c>
      <c r="H33" s="18">
        <f t="shared" si="0"/>
        <v>9.5291044776119378</v>
      </c>
      <c r="I33" s="5"/>
      <c r="J33" s="5"/>
      <c r="K33" s="5"/>
      <c r="L33" s="5"/>
      <c r="M33" s="5"/>
      <c r="N33" s="5"/>
      <c r="O33" s="5"/>
      <c r="P33" s="5"/>
      <c r="Q33" s="5"/>
      <c r="R33" s="5"/>
      <c r="S33" s="5"/>
      <c r="T33" s="5"/>
      <c r="U33" s="5"/>
      <c r="V33" s="5"/>
      <c r="W33" s="5"/>
      <c r="X33" s="5"/>
      <c r="Y33" s="5"/>
      <c r="Z33" s="6"/>
    </row>
    <row r="34" spans="1:26">
      <c r="A34" s="19" t="s">
        <v>34</v>
      </c>
      <c r="B34" s="29">
        <v>46174</v>
      </c>
      <c r="C34" s="20"/>
      <c r="D34" s="20"/>
      <c r="E34" s="20">
        <v>72.7</v>
      </c>
      <c r="F34" s="20">
        <v>134</v>
      </c>
      <c r="G34" s="20">
        <v>78</v>
      </c>
      <c r="H34" s="18">
        <f t="shared" si="0"/>
        <v>4.4694029850746242</v>
      </c>
      <c r="I34" s="5"/>
      <c r="J34" s="5"/>
      <c r="K34" s="5"/>
      <c r="L34" s="5"/>
      <c r="M34" s="5"/>
      <c r="N34" s="5"/>
      <c r="O34" s="5"/>
      <c r="P34" s="5"/>
      <c r="Q34" s="5"/>
      <c r="R34" s="5"/>
      <c r="S34" s="5"/>
      <c r="T34" s="5"/>
      <c r="U34" s="5"/>
      <c r="V34" s="5"/>
      <c r="W34" s="5"/>
      <c r="X34" s="5"/>
      <c r="Y34" s="5"/>
      <c r="Z34" s="6"/>
    </row>
    <row r="35" spans="1:26">
      <c r="A35" s="19" t="s">
        <v>35</v>
      </c>
      <c r="B35" s="29">
        <v>46204</v>
      </c>
      <c r="C35" s="20"/>
      <c r="D35" s="20"/>
      <c r="E35" s="20">
        <v>74</v>
      </c>
      <c r="F35" s="20">
        <v>141</v>
      </c>
      <c r="G35" s="20">
        <v>82</v>
      </c>
      <c r="H35" s="18">
        <f t="shared" si="0"/>
        <v>6.4113475177304968</v>
      </c>
      <c r="I35" s="5"/>
      <c r="J35" s="5"/>
      <c r="K35" s="5"/>
      <c r="L35" s="5"/>
      <c r="M35" s="5"/>
      <c r="N35" s="5"/>
      <c r="O35" s="5"/>
      <c r="P35" s="5"/>
      <c r="Q35" s="5"/>
      <c r="R35" s="5"/>
      <c r="S35" s="5"/>
      <c r="T35" s="5"/>
      <c r="U35" s="5"/>
      <c r="V35" s="5"/>
      <c r="W35" s="5"/>
      <c r="X35" s="5"/>
      <c r="Y35" s="5"/>
      <c r="Z35" s="6"/>
    </row>
    <row r="36" spans="1:26">
      <c r="A36" s="19" t="s">
        <v>35</v>
      </c>
      <c r="B36" s="29">
        <v>46204</v>
      </c>
      <c r="C36" s="20"/>
      <c r="D36" s="20"/>
      <c r="E36" s="20">
        <v>71.3</v>
      </c>
      <c r="F36" s="20">
        <v>135</v>
      </c>
      <c r="G36" s="20">
        <v>81</v>
      </c>
      <c r="H36" s="18">
        <f t="shared" si="0"/>
        <v>8.1192592592592625</v>
      </c>
      <c r="I36" s="5"/>
      <c r="J36" s="5"/>
      <c r="K36" s="5"/>
      <c r="L36" s="5"/>
      <c r="M36" s="5"/>
      <c r="N36" s="5"/>
      <c r="O36" s="5"/>
      <c r="P36" s="5"/>
      <c r="Q36" s="5"/>
      <c r="R36" s="5"/>
      <c r="S36" s="5"/>
      <c r="T36" s="5"/>
      <c r="U36" s="5"/>
      <c r="V36" s="5"/>
      <c r="W36" s="5"/>
      <c r="X36" s="5"/>
      <c r="Y36" s="5"/>
      <c r="Z36" s="6"/>
    </row>
    <row r="37" spans="1:26">
      <c r="A37" s="19" t="s">
        <v>35</v>
      </c>
      <c r="B37" s="29">
        <v>46204</v>
      </c>
      <c r="C37" s="20"/>
      <c r="D37" s="20"/>
      <c r="E37" s="20">
        <v>71.900000000000006</v>
      </c>
      <c r="F37" s="20">
        <v>137</v>
      </c>
      <c r="G37" s="20">
        <v>85</v>
      </c>
      <c r="H37" s="18">
        <f t="shared" si="0"/>
        <v>10.805109489051089</v>
      </c>
      <c r="I37" s="5"/>
      <c r="J37" s="5"/>
      <c r="K37" s="5"/>
      <c r="L37" s="5"/>
      <c r="M37" s="5"/>
      <c r="N37" s="5"/>
      <c r="O37" s="5"/>
      <c r="P37" s="5"/>
      <c r="Q37" s="5"/>
      <c r="R37" s="5"/>
      <c r="S37" s="5"/>
      <c r="T37" s="5"/>
      <c r="U37" s="5"/>
      <c r="V37" s="5"/>
      <c r="W37" s="5"/>
      <c r="X37" s="5"/>
      <c r="Y37" s="5"/>
      <c r="Z37" s="6"/>
    </row>
    <row r="38" spans="1:26">
      <c r="A38" s="19" t="s">
        <v>35</v>
      </c>
      <c r="B38" s="29">
        <v>46204</v>
      </c>
      <c r="C38" s="20"/>
      <c r="D38" s="20"/>
      <c r="E38" s="20">
        <v>70.400000000000006</v>
      </c>
      <c r="F38" s="20">
        <v>134</v>
      </c>
      <c r="G38" s="20">
        <v>85</v>
      </c>
      <c r="H38" s="18">
        <f t="shared" si="0"/>
        <v>12.311940298507457</v>
      </c>
      <c r="I38" s="5"/>
      <c r="J38" s="5"/>
      <c r="K38" s="5"/>
      <c r="L38" s="5"/>
      <c r="M38" s="5"/>
      <c r="N38" s="5"/>
      <c r="O38" s="5"/>
      <c r="P38" s="5"/>
      <c r="Q38" s="5"/>
      <c r="R38" s="5"/>
      <c r="S38" s="5"/>
      <c r="T38" s="5"/>
      <c r="U38" s="5"/>
      <c r="V38" s="5"/>
      <c r="W38" s="5"/>
      <c r="X38" s="5"/>
      <c r="Y38" s="5"/>
      <c r="Z38" s="6"/>
    </row>
    <row r="39" spans="1:26">
      <c r="A39" s="19" t="s">
        <v>36</v>
      </c>
      <c r="B39" s="29">
        <v>46204</v>
      </c>
      <c r="C39" s="20"/>
      <c r="D39" s="20"/>
      <c r="E39" s="20">
        <v>69</v>
      </c>
      <c r="F39" s="20">
        <v>124</v>
      </c>
      <c r="G39" s="20">
        <v>88</v>
      </c>
      <c r="H39" s="18">
        <f t="shared" si="0"/>
        <v>17.31451612903226</v>
      </c>
      <c r="I39" s="5"/>
      <c r="J39" s="5"/>
      <c r="K39" s="5"/>
      <c r="L39" s="5"/>
      <c r="M39" s="5"/>
      <c r="N39" s="5"/>
      <c r="O39" s="5"/>
      <c r="P39" s="5"/>
      <c r="Q39" s="5"/>
      <c r="R39" s="5"/>
      <c r="S39" s="5"/>
      <c r="T39" s="5"/>
      <c r="U39" s="5"/>
      <c r="V39" s="5"/>
      <c r="W39" s="5"/>
      <c r="X39" s="5"/>
      <c r="Y39" s="5"/>
      <c r="Z39" s="6"/>
    </row>
    <row r="40" spans="1:26">
      <c r="A40" s="19" t="s">
        <v>36</v>
      </c>
      <c r="B40" s="29">
        <v>46174</v>
      </c>
      <c r="C40" s="20"/>
      <c r="D40" s="20"/>
      <c r="E40" s="20">
        <v>70</v>
      </c>
      <c r="F40" s="20">
        <v>125</v>
      </c>
      <c r="G40" s="20">
        <v>83</v>
      </c>
      <c r="H40" s="18">
        <f t="shared" si="0"/>
        <v>11.752000000000001</v>
      </c>
      <c r="I40" s="5"/>
      <c r="J40" s="5"/>
      <c r="K40" s="5"/>
      <c r="L40" s="5"/>
      <c r="M40" s="5"/>
      <c r="N40" s="5"/>
      <c r="O40" s="5"/>
      <c r="P40" s="5"/>
      <c r="Q40" s="5"/>
      <c r="R40" s="5"/>
      <c r="S40" s="5"/>
      <c r="T40" s="5"/>
      <c r="U40" s="5"/>
      <c r="V40" s="5"/>
      <c r="W40" s="5"/>
      <c r="X40" s="5"/>
      <c r="Y40" s="5"/>
      <c r="Z40" s="6"/>
    </row>
    <row r="41" spans="1:26">
      <c r="A41" s="19" t="s">
        <v>36</v>
      </c>
      <c r="B41" s="29">
        <v>46143</v>
      </c>
      <c r="C41" s="20"/>
      <c r="D41" s="20"/>
      <c r="E41" s="20">
        <v>70.2</v>
      </c>
      <c r="F41" s="20">
        <v>124</v>
      </c>
      <c r="G41" s="20">
        <v>80</v>
      </c>
      <c r="H41" s="18">
        <f t="shared" si="0"/>
        <v>8.9306451612903199</v>
      </c>
      <c r="I41" s="5"/>
      <c r="J41" s="5"/>
      <c r="K41" s="5"/>
      <c r="L41" s="5"/>
      <c r="M41" s="5"/>
      <c r="N41" s="5"/>
      <c r="O41" s="5"/>
      <c r="P41" s="5"/>
      <c r="Q41" s="5"/>
      <c r="R41" s="5"/>
      <c r="S41" s="5"/>
      <c r="T41" s="5"/>
      <c r="U41" s="5"/>
      <c r="V41" s="5"/>
      <c r="W41" s="5"/>
      <c r="X41" s="5"/>
      <c r="Y41" s="5"/>
      <c r="Z41" s="6"/>
    </row>
    <row r="42" spans="1:26">
      <c r="A42" s="19" t="s">
        <v>37</v>
      </c>
      <c r="B42" s="29">
        <v>46235</v>
      </c>
      <c r="C42" s="20"/>
      <c r="D42" s="20"/>
      <c r="E42" s="20">
        <v>73.099999999999994</v>
      </c>
      <c r="F42" s="20">
        <v>139</v>
      </c>
      <c r="G42" s="20">
        <v>96</v>
      </c>
      <c r="H42" s="18">
        <f t="shared" si="0"/>
        <v>18.616546762589934</v>
      </c>
      <c r="I42" s="5"/>
      <c r="J42" s="5"/>
      <c r="K42" s="5"/>
      <c r="L42" s="5"/>
      <c r="M42" s="5"/>
      <c r="N42" s="5"/>
      <c r="O42" s="5"/>
      <c r="P42" s="5"/>
      <c r="Q42" s="5"/>
      <c r="R42" s="5"/>
      <c r="S42" s="5"/>
      <c r="T42" s="5"/>
      <c r="U42" s="5"/>
      <c r="V42" s="5"/>
      <c r="W42" s="5"/>
      <c r="X42" s="5"/>
      <c r="Y42" s="5"/>
      <c r="Z42" s="6"/>
    </row>
    <row r="43" spans="1:26">
      <c r="A43" s="19" t="s">
        <v>37</v>
      </c>
      <c r="B43" s="29">
        <v>46204</v>
      </c>
      <c r="C43" s="20"/>
      <c r="D43" s="20"/>
      <c r="E43" s="20">
        <v>72.7</v>
      </c>
      <c r="F43" s="20">
        <v>134</v>
      </c>
      <c r="G43" s="20">
        <v>94</v>
      </c>
      <c r="H43" s="18">
        <f t="shared" si="0"/>
        <v>17.961940298507461</v>
      </c>
      <c r="I43" s="5"/>
      <c r="J43" s="5"/>
      <c r="K43" s="5"/>
      <c r="L43" s="5"/>
      <c r="M43" s="5"/>
      <c r="N43" s="5"/>
      <c r="O43" s="5"/>
      <c r="P43" s="5"/>
      <c r="Q43" s="5"/>
      <c r="R43" s="5"/>
      <c r="S43" s="5"/>
      <c r="T43" s="5"/>
      <c r="U43" s="5"/>
      <c r="V43" s="5"/>
      <c r="W43" s="5"/>
      <c r="X43" s="5"/>
      <c r="Y43" s="5"/>
      <c r="Z43" s="6"/>
    </row>
    <row r="44" spans="1:26">
      <c r="A44" s="19" t="s">
        <v>37</v>
      </c>
      <c r="B44" s="29">
        <v>46204</v>
      </c>
      <c r="C44" s="20"/>
      <c r="D44" s="20"/>
      <c r="E44" s="20">
        <v>72.7</v>
      </c>
      <c r="F44" s="20">
        <v>134</v>
      </c>
      <c r="G44" s="20">
        <v>90</v>
      </c>
      <c r="H44" s="18">
        <f t="shared" si="0"/>
        <v>14.588805970149251</v>
      </c>
      <c r="I44" s="5"/>
      <c r="J44" s="5"/>
      <c r="K44" s="5"/>
      <c r="L44" s="5"/>
      <c r="M44" s="5"/>
      <c r="N44" s="5"/>
      <c r="O44" s="5"/>
      <c r="P44" s="5"/>
      <c r="Q44" s="5"/>
      <c r="R44" s="5"/>
      <c r="S44" s="5"/>
      <c r="T44" s="5"/>
      <c r="U44" s="5"/>
      <c r="V44" s="5"/>
      <c r="W44" s="5"/>
      <c r="X44" s="5"/>
      <c r="Y44" s="5"/>
      <c r="Z44" s="6"/>
    </row>
    <row r="45" spans="1:26">
      <c r="A45" s="19" t="s">
        <v>37</v>
      </c>
      <c r="B45" s="29">
        <v>46204</v>
      </c>
      <c r="C45" s="20"/>
      <c r="D45" s="20"/>
      <c r="E45" s="20">
        <v>72.7</v>
      </c>
      <c r="F45" s="20">
        <v>134</v>
      </c>
      <c r="G45" s="20">
        <v>97</v>
      </c>
      <c r="H45" s="18">
        <f t="shared" si="0"/>
        <v>20.491791044776118</v>
      </c>
      <c r="I45" s="5"/>
      <c r="J45" s="5"/>
      <c r="K45" s="5"/>
      <c r="L45" s="5"/>
      <c r="M45" s="5"/>
      <c r="N45" s="5"/>
      <c r="O45" s="5"/>
      <c r="P45" s="5"/>
      <c r="Q45" s="5"/>
      <c r="R45" s="5"/>
      <c r="S45" s="5"/>
      <c r="T45" s="5"/>
      <c r="U45" s="5"/>
      <c r="V45" s="5"/>
      <c r="W45" s="5"/>
      <c r="X45" s="5"/>
      <c r="Y45" s="5"/>
      <c r="Z45" s="6"/>
    </row>
    <row r="46" spans="1:26">
      <c r="A46" s="19" t="s">
        <v>37</v>
      </c>
      <c r="B46" s="29">
        <v>46204</v>
      </c>
      <c r="C46" s="20"/>
      <c r="D46" s="20"/>
      <c r="E46" s="20">
        <v>72.7</v>
      </c>
      <c r="F46" s="20">
        <v>134</v>
      </c>
      <c r="G46" s="20">
        <v>92</v>
      </c>
      <c r="H46" s="18">
        <f t="shared" si="0"/>
        <v>16.275373134328355</v>
      </c>
      <c r="I46" s="5"/>
      <c r="J46" s="5"/>
      <c r="K46" s="5"/>
      <c r="L46" s="5"/>
      <c r="M46" s="5"/>
      <c r="N46" s="5"/>
      <c r="O46" s="5"/>
      <c r="P46" s="5"/>
      <c r="Q46" s="5"/>
      <c r="R46" s="5"/>
      <c r="S46" s="5"/>
      <c r="T46" s="5"/>
      <c r="U46" s="5"/>
      <c r="V46" s="5"/>
      <c r="W46" s="5"/>
      <c r="X46" s="5"/>
      <c r="Y46" s="5"/>
      <c r="Z46" s="6"/>
    </row>
    <row r="47" spans="1:26">
      <c r="A47" s="19" t="s">
        <v>37</v>
      </c>
      <c r="B47" s="29">
        <v>46204</v>
      </c>
      <c r="C47" s="20"/>
      <c r="D47" s="20"/>
      <c r="E47" s="20">
        <v>72.7</v>
      </c>
      <c r="F47" s="20">
        <v>134</v>
      </c>
      <c r="G47" s="20">
        <v>98</v>
      </c>
      <c r="H47" s="18">
        <f t="shared" si="0"/>
        <v>21.335074626865669</v>
      </c>
      <c r="I47" s="5"/>
      <c r="J47" s="5"/>
      <c r="K47" s="5"/>
      <c r="L47" s="5"/>
      <c r="M47" s="5"/>
      <c r="N47" s="5"/>
      <c r="O47" s="5"/>
      <c r="P47" s="5"/>
      <c r="Q47" s="5"/>
      <c r="R47" s="5"/>
      <c r="S47" s="5"/>
      <c r="T47" s="5"/>
      <c r="U47" s="5"/>
      <c r="V47" s="5"/>
      <c r="W47" s="5"/>
      <c r="X47" s="5"/>
      <c r="Y47" s="5"/>
      <c r="Z47" s="6"/>
    </row>
    <row r="48" spans="1:26">
      <c r="A48" s="19" t="s">
        <v>38</v>
      </c>
      <c r="B48" s="29">
        <v>46204</v>
      </c>
      <c r="C48" s="20"/>
      <c r="D48" s="20"/>
      <c r="E48" s="20">
        <v>71.099999999999994</v>
      </c>
      <c r="F48" s="20">
        <v>126</v>
      </c>
      <c r="G48" s="20">
        <v>83</v>
      </c>
      <c r="H48" s="18">
        <f t="shared" si="0"/>
        <v>10.672222222222228</v>
      </c>
      <c r="I48" s="5"/>
      <c r="J48" s="5"/>
      <c r="K48" s="5"/>
      <c r="L48" s="5"/>
      <c r="M48" s="5"/>
      <c r="N48" s="5"/>
      <c r="O48" s="5"/>
      <c r="P48" s="5"/>
      <c r="Q48" s="5"/>
      <c r="R48" s="5"/>
      <c r="S48" s="5"/>
      <c r="T48" s="5"/>
      <c r="U48" s="5"/>
      <c r="V48" s="5"/>
      <c r="W48" s="5"/>
      <c r="X48" s="5"/>
      <c r="Y48" s="5"/>
      <c r="Z48" s="6"/>
    </row>
    <row r="49" spans="1:26">
      <c r="A49" s="19" t="s">
        <v>38</v>
      </c>
      <c r="B49" s="29">
        <v>46204</v>
      </c>
      <c r="C49" s="20"/>
      <c r="D49" s="20"/>
      <c r="E49" s="20">
        <v>71.400000000000006</v>
      </c>
      <c r="F49" s="20">
        <v>130</v>
      </c>
      <c r="G49" s="20">
        <v>89</v>
      </c>
      <c r="H49" s="18">
        <f t="shared" si="0"/>
        <v>15.298461538461533</v>
      </c>
      <c r="I49" s="5"/>
      <c r="J49" s="5"/>
      <c r="K49" s="5"/>
      <c r="L49" s="5"/>
      <c r="M49" s="5"/>
      <c r="N49" s="5"/>
      <c r="O49" s="5"/>
      <c r="P49" s="5"/>
      <c r="Q49" s="5"/>
      <c r="R49" s="5"/>
      <c r="S49" s="5"/>
      <c r="T49" s="5"/>
      <c r="U49" s="5"/>
      <c r="V49" s="5"/>
      <c r="W49" s="5"/>
      <c r="X49" s="5"/>
      <c r="Y49" s="5"/>
      <c r="Z49" s="6"/>
    </row>
    <row r="50" spans="1:26">
      <c r="A50" s="19" t="s">
        <v>38</v>
      </c>
      <c r="B50" s="29">
        <v>46204</v>
      </c>
      <c r="C50" s="20"/>
      <c r="D50" s="20"/>
      <c r="E50" s="20">
        <v>70.3</v>
      </c>
      <c r="F50" s="20">
        <v>130</v>
      </c>
      <c r="G50" s="20">
        <v>80</v>
      </c>
      <c r="H50" s="18">
        <f t="shared" si="0"/>
        <v>8.4315384615384641</v>
      </c>
      <c r="I50" s="5"/>
      <c r="J50" s="5"/>
      <c r="K50" s="5"/>
      <c r="L50" s="5"/>
      <c r="M50" s="5"/>
      <c r="N50" s="5"/>
      <c r="O50" s="5"/>
      <c r="P50" s="5"/>
      <c r="Q50" s="5"/>
      <c r="R50" s="5"/>
      <c r="S50" s="5"/>
      <c r="T50" s="5"/>
      <c r="U50" s="5"/>
      <c r="V50" s="5"/>
      <c r="W50" s="5"/>
      <c r="X50" s="5"/>
      <c r="Y50" s="5"/>
      <c r="Z50" s="6"/>
    </row>
    <row r="51" spans="1:26">
      <c r="A51" s="19" t="s">
        <v>38</v>
      </c>
      <c r="B51" s="29">
        <v>46174</v>
      </c>
      <c r="C51" s="20"/>
      <c r="D51" s="20"/>
      <c r="E51" s="20">
        <v>67.7</v>
      </c>
      <c r="F51" s="20">
        <v>127</v>
      </c>
      <c r="G51" s="20">
        <v>72</v>
      </c>
      <c r="H51" s="18">
        <f t="shared" si="0"/>
        <v>3.8259842519685017</v>
      </c>
      <c r="I51" s="5"/>
      <c r="J51" s="5"/>
      <c r="K51" s="5"/>
      <c r="L51" s="5"/>
      <c r="M51" s="5"/>
      <c r="N51" s="5"/>
      <c r="O51" s="5"/>
      <c r="P51" s="5"/>
      <c r="Q51" s="5"/>
      <c r="R51" s="5"/>
      <c r="S51" s="5"/>
      <c r="T51" s="5"/>
      <c r="U51" s="5"/>
      <c r="V51" s="5"/>
      <c r="W51" s="5"/>
      <c r="X51" s="5"/>
      <c r="Y51" s="5"/>
      <c r="Z51" s="6"/>
    </row>
    <row r="52" spans="1:26">
      <c r="A52" s="19" t="s">
        <v>38</v>
      </c>
      <c r="B52" s="29">
        <v>46174</v>
      </c>
      <c r="C52" s="20"/>
      <c r="D52" s="20"/>
      <c r="E52" s="20">
        <v>70.3</v>
      </c>
      <c r="F52" s="20">
        <v>130</v>
      </c>
      <c r="G52" s="20">
        <v>87</v>
      </c>
      <c r="H52" s="18">
        <f t="shared" si="0"/>
        <v>14.516153846153848</v>
      </c>
      <c r="I52" s="5"/>
      <c r="J52" s="5"/>
      <c r="K52" s="5"/>
      <c r="L52" s="5"/>
      <c r="M52" s="5"/>
      <c r="N52" s="5"/>
      <c r="O52" s="5"/>
      <c r="P52" s="5"/>
      <c r="Q52" s="5"/>
      <c r="R52" s="5"/>
      <c r="S52" s="5"/>
      <c r="T52" s="5"/>
      <c r="U52" s="5"/>
      <c r="V52" s="5"/>
      <c r="W52" s="5"/>
      <c r="X52" s="5"/>
      <c r="Y52" s="5"/>
      <c r="Z52" s="6"/>
    </row>
    <row r="53" spans="1:26">
      <c r="A53" s="19" t="s">
        <v>39</v>
      </c>
      <c r="B53" s="29">
        <v>46174</v>
      </c>
      <c r="C53" s="20"/>
      <c r="D53" s="20"/>
      <c r="E53" s="20">
        <v>70.900000000000006</v>
      </c>
      <c r="F53" s="20">
        <v>128</v>
      </c>
      <c r="G53" s="20">
        <v>91</v>
      </c>
      <c r="H53" s="18">
        <f t="shared" si="0"/>
        <v>17.744531249999994</v>
      </c>
      <c r="I53" s="5"/>
      <c r="J53" s="5"/>
      <c r="K53" s="5"/>
      <c r="L53" s="5"/>
      <c r="M53" s="5"/>
      <c r="N53" s="5"/>
      <c r="O53" s="5"/>
      <c r="P53" s="5"/>
      <c r="Q53" s="5"/>
      <c r="R53" s="5"/>
      <c r="S53" s="5"/>
      <c r="T53" s="5"/>
      <c r="U53" s="5"/>
      <c r="V53" s="5"/>
      <c r="W53" s="5"/>
      <c r="X53" s="5"/>
      <c r="Y53" s="5"/>
      <c r="Z53" s="6"/>
    </row>
    <row r="54" spans="1:26">
      <c r="A54" s="19" t="s">
        <v>39</v>
      </c>
      <c r="B54" s="29">
        <v>46113</v>
      </c>
      <c r="C54" s="20"/>
      <c r="D54" s="20"/>
      <c r="E54" s="20">
        <v>71</v>
      </c>
      <c r="F54" s="20">
        <v>129</v>
      </c>
      <c r="G54" s="20">
        <v>90</v>
      </c>
      <c r="H54" s="18">
        <f t="shared" si="0"/>
        <v>16.643410852713178</v>
      </c>
      <c r="I54" s="5"/>
      <c r="J54" s="5"/>
      <c r="K54" s="5"/>
      <c r="L54" s="5"/>
      <c r="M54" s="5"/>
      <c r="N54" s="5"/>
      <c r="O54" s="5"/>
      <c r="P54" s="5"/>
      <c r="Q54" s="5"/>
      <c r="R54" s="5"/>
      <c r="S54" s="5"/>
      <c r="T54" s="5"/>
      <c r="U54" s="5"/>
      <c r="V54" s="5"/>
      <c r="W54" s="5"/>
      <c r="X54" s="5"/>
      <c r="Y54" s="5"/>
      <c r="Z54" s="6"/>
    </row>
    <row r="55" spans="1:26">
      <c r="A55" s="19" t="s">
        <v>40</v>
      </c>
      <c r="B55" s="29">
        <v>46204</v>
      </c>
      <c r="C55" s="20"/>
      <c r="D55" s="20"/>
      <c r="E55" s="20">
        <v>69.400000000000006</v>
      </c>
      <c r="F55" s="20">
        <v>134</v>
      </c>
      <c r="G55" s="20">
        <v>86</v>
      </c>
      <c r="H55" s="18">
        <f t="shared" si="0"/>
        <v>13.998507462686561</v>
      </c>
      <c r="I55" s="5"/>
      <c r="J55" s="5"/>
      <c r="K55" s="5"/>
      <c r="L55" s="5"/>
      <c r="M55" s="5"/>
      <c r="N55" s="5"/>
      <c r="O55" s="5"/>
      <c r="P55" s="5"/>
      <c r="Q55" s="5"/>
      <c r="R55" s="5"/>
      <c r="S55" s="5"/>
      <c r="T55" s="5"/>
      <c r="U55" s="5"/>
      <c r="V55" s="5"/>
      <c r="W55" s="5"/>
      <c r="X55" s="5"/>
      <c r="Y55" s="5"/>
      <c r="Z55" s="6"/>
    </row>
    <row r="56" spans="1:26">
      <c r="A56" s="19" t="s">
        <v>40</v>
      </c>
      <c r="B56" s="29">
        <v>46204</v>
      </c>
      <c r="C56" s="20"/>
      <c r="D56" s="20"/>
      <c r="E56" s="20">
        <v>68.099999999999994</v>
      </c>
      <c r="F56" s="20">
        <v>113</v>
      </c>
      <c r="G56" s="20">
        <v>81</v>
      </c>
      <c r="H56" s="18">
        <f t="shared" si="0"/>
        <v>12.900000000000006</v>
      </c>
      <c r="I56" s="5"/>
      <c r="J56" s="5"/>
      <c r="K56" s="5"/>
      <c r="L56" s="5"/>
      <c r="M56" s="5"/>
      <c r="N56" s="5"/>
      <c r="O56" s="5"/>
      <c r="P56" s="5"/>
      <c r="Q56" s="5"/>
      <c r="R56" s="5"/>
      <c r="S56" s="5"/>
      <c r="T56" s="5"/>
      <c r="U56" s="5"/>
      <c r="V56" s="5"/>
      <c r="W56" s="5"/>
      <c r="X56" s="5"/>
      <c r="Y56" s="5"/>
      <c r="Z56" s="6"/>
    </row>
    <row r="57" spans="1:26">
      <c r="A57" s="19" t="s">
        <v>40</v>
      </c>
      <c r="B57" s="29">
        <v>46143</v>
      </c>
      <c r="C57" s="20"/>
      <c r="D57" s="20"/>
      <c r="E57" s="20">
        <v>71</v>
      </c>
      <c r="F57" s="20">
        <v>132</v>
      </c>
      <c r="G57" s="20">
        <v>94</v>
      </c>
      <c r="H57" s="18">
        <f t="shared" si="0"/>
        <v>19.689393939393938</v>
      </c>
      <c r="I57" s="5"/>
      <c r="J57" s="5"/>
      <c r="K57" s="5"/>
      <c r="L57" s="5"/>
      <c r="M57" s="5"/>
      <c r="N57" s="5"/>
      <c r="O57" s="5"/>
      <c r="P57" s="5"/>
      <c r="Q57" s="5"/>
      <c r="R57" s="5"/>
      <c r="S57" s="5"/>
      <c r="T57" s="5"/>
      <c r="U57" s="5"/>
      <c r="V57" s="5"/>
      <c r="W57" s="5"/>
      <c r="X57" s="5"/>
      <c r="Y57" s="5"/>
      <c r="Z57" s="6"/>
    </row>
    <row r="58" spans="1:26">
      <c r="A58" s="19" t="s">
        <v>33</v>
      </c>
      <c r="B58" s="29">
        <v>46204</v>
      </c>
      <c r="C58" s="20"/>
      <c r="D58" s="20"/>
      <c r="E58" s="20">
        <v>71.599999999999994</v>
      </c>
      <c r="F58" s="20">
        <v>122</v>
      </c>
      <c r="G58" s="20">
        <v>97</v>
      </c>
      <c r="H58" s="18">
        <f t="shared" si="0"/>
        <v>23.526229508196728</v>
      </c>
      <c r="I58" s="5"/>
      <c r="J58" s="5"/>
      <c r="K58" s="5"/>
      <c r="L58" s="5"/>
      <c r="M58" s="5"/>
      <c r="N58" s="5"/>
      <c r="O58" s="5"/>
      <c r="P58" s="5"/>
      <c r="Q58" s="5"/>
      <c r="R58" s="5"/>
      <c r="S58" s="5"/>
      <c r="T58" s="5"/>
      <c r="U58" s="5"/>
      <c r="V58" s="5"/>
      <c r="W58" s="5"/>
      <c r="X58" s="5"/>
      <c r="Y58" s="5"/>
      <c r="Z58" s="6"/>
    </row>
    <row r="59" spans="1:26">
      <c r="A59" s="19" t="s">
        <v>33</v>
      </c>
      <c r="B59" s="29">
        <v>46143</v>
      </c>
      <c r="C59" s="20"/>
      <c r="D59" s="20"/>
      <c r="E59" s="20">
        <v>71.5</v>
      </c>
      <c r="F59" s="20">
        <v>127</v>
      </c>
      <c r="G59" s="20">
        <v>101</v>
      </c>
      <c r="H59" s="18">
        <f t="shared" si="0"/>
        <v>26.248031496062993</v>
      </c>
      <c r="I59" s="5"/>
      <c r="J59" s="5"/>
      <c r="K59" s="5"/>
      <c r="L59" s="5"/>
      <c r="M59" s="5"/>
      <c r="N59" s="5"/>
      <c r="O59" s="5"/>
      <c r="P59" s="5"/>
      <c r="Q59" s="5"/>
      <c r="R59" s="5"/>
      <c r="S59" s="5"/>
      <c r="T59" s="5"/>
      <c r="U59" s="5"/>
      <c r="V59" s="5"/>
      <c r="W59" s="5"/>
      <c r="X59" s="5"/>
      <c r="Y59" s="5"/>
      <c r="Z59" s="6"/>
    </row>
    <row r="60" spans="1:26">
      <c r="A60" s="19" t="s">
        <v>28</v>
      </c>
      <c r="B60" s="29">
        <v>46174</v>
      </c>
      <c r="C60" s="20"/>
      <c r="D60" s="20"/>
      <c r="E60" s="20">
        <v>68.8</v>
      </c>
      <c r="F60" s="20">
        <v>119</v>
      </c>
      <c r="G60" s="20">
        <v>86</v>
      </c>
      <c r="H60" s="18">
        <f t="shared" si="0"/>
        <v>16.3327731092437</v>
      </c>
      <c r="I60" s="5"/>
      <c r="J60" s="5"/>
      <c r="K60" s="5"/>
      <c r="L60" s="5"/>
      <c r="M60" s="5"/>
      <c r="N60" s="5"/>
      <c r="O60" s="5"/>
      <c r="P60" s="5"/>
      <c r="Q60" s="5"/>
      <c r="R60" s="5"/>
      <c r="S60" s="5"/>
      <c r="T60" s="5"/>
      <c r="U60" s="5"/>
      <c r="V60" s="5"/>
      <c r="W60" s="5"/>
      <c r="X60" s="5"/>
      <c r="Y60" s="5"/>
      <c r="Z60" s="6"/>
    </row>
    <row r="61" spans="1:26">
      <c r="A61" s="19" t="s">
        <v>38</v>
      </c>
      <c r="B61" s="29">
        <v>46174</v>
      </c>
      <c r="C61" s="20"/>
      <c r="D61" s="20"/>
      <c r="E61" s="20">
        <v>71</v>
      </c>
      <c r="F61" s="20">
        <v>132</v>
      </c>
      <c r="G61" s="20">
        <v>99</v>
      </c>
      <c r="H61" s="18">
        <f t="shared" si="0"/>
        <v>23.969696969696969</v>
      </c>
      <c r="I61" s="5"/>
      <c r="J61" s="5"/>
      <c r="K61" s="5"/>
      <c r="L61" s="5"/>
      <c r="M61" s="5"/>
      <c r="N61" s="5"/>
      <c r="O61" s="5"/>
      <c r="P61" s="5"/>
      <c r="Q61" s="5"/>
      <c r="R61" s="5"/>
      <c r="S61" s="5"/>
      <c r="T61" s="5"/>
      <c r="U61" s="5"/>
      <c r="V61" s="5"/>
      <c r="W61" s="5"/>
      <c r="X61" s="5"/>
      <c r="Y61" s="5"/>
      <c r="Z61" s="6"/>
    </row>
    <row r="62" spans="1:26">
      <c r="A62" s="19" t="s">
        <v>39</v>
      </c>
      <c r="B62" s="29">
        <v>46235</v>
      </c>
      <c r="C62" s="20"/>
      <c r="D62" s="20"/>
      <c r="E62" s="20">
        <v>73.5</v>
      </c>
      <c r="F62" s="20">
        <v>143</v>
      </c>
      <c r="G62" s="20">
        <v>96</v>
      </c>
      <c r="H62" s="18">
        <f t="shared" si="0"/>
        <v>17.77972027972028</v>
      </c>
      <c r="I62" s="5"/>
      <c r="J62" s="5"/>
      <c r="K62" s="5"/>
      <c r="L62" s="5"/>
      <c r="M62" s="5"/>
      <c r="N62" s="5"/>
      <c r="O62" s="5"/>
      <c r="P62" s="5"/>
      <c r="Q62" s="5"/>
      <c r="R62" s="5"/>
      <c r="S62" s="5"/>
      <c r="T62" s="5"/>
      <c r="U62" s="5"/>
      <c r="V62" s="5"/>
      <c r="W62" s="5"/>
      <c r="X62" s="5"/>
      <c r="Y62" s="5"/>
      <c r="Z62" s="6"/>
    </row>
    <row r="63" spans="1:26">
      <c r="A63" s="19" t="s">
        <v>39</v>
      </c>
      <c r="B63" s="29">
        <v>46235</v>
      </c>
      <c r="C63" s="20"/>
      <c r="D63" s="20"/>
      <c r="E63" s="20">
        <v>70.8</v>
      </c>
      <c r="F63" s="20">
        <v>135</v>
      </c>
      <c r="G63" s="20">
        <v>98</v>
      </c>
      <c r="H63" s="18">
        <f t="shared" si="0"/>
        <v>22.767407407407411</v>
      </c>
      <c r="I63" s="5"/>
      <c r="J63" s="5"/>
      <c r="K63" s="5"/>
      <c r="L63" s="5"/>
      <c r="M63" s="5"/>
      <c r="N63" s="5"/>
      <c r="O63" s="5"/>
      <c r="P63" s="5"/>
      <c r="Q63" s="5"/>
      <c r="R63" s="5"/>
      <c r="S63" s="5"/>
      <c r="T63" s="5"/>
      <c r="U63" s="5"/>
      <c r="V63" s="5"/>
      <c r="W63" s="5"/>
      <c r="X63" s="5"/>
      <c r="Y63" s="5"/>
      <c r="Z63" s="6"/>
    </row>
    <row r="64" spans="1:26">
      <c r="A64" s="19" t="s">
        <v>36</v>
      </c>
      <c r="B64" s="29">
        <v>46235</v>
      </c>
      <c r="C64" s="20"/>
      <c r="D64" s="20"/>
      <c r="E64" s="20">
        <v>70.5</v>
      </c>
      <c r="F64" s="20">
        <v>118</v>
      </c>
      <c r="G64" s="20">
        <v>88</v>
      </c>
      <c r="H64" s="18">
        <f t="shared" si="0"/>
        <v>16.758474576271187</v>
      </c>
      <c r="I64" s="5"/>
      <c r="J64" s="5"/>
      <c r="K64" s="5"/>
      <c r="L64" s="5"/>
      <c r="M64" s="5"/>
      <c r="N64" s="5"/>
      <c r="O64" s="5"/>
      <c r="P64" s="5"/>
      <c r="Q64" s="5"/>
      <c r="R64" s="5"/>
      <c r="S64" s="5"/>
      <c r="T64" s="5"/>
      <c r="U64" s="5"/>
      <c r="V64" s="5"/>
      <c r="W64" s="5"/>
      <c r="X64" s="5"/>
      <c r="Y64" s="5"/>
      <c r="Z64" s="6"/>
    </row>
    <row r="65" spans="1:26">
      <c r="A65" s="19" t="s">
        <v>40</v>
      </c>
      <c r="B65" s="29">
        <v>46235</v>
      </c>
      <c r="C65" s="20"/>
      <c r="D65" s="20"/>
      <c r="E65" s="20">
        <v>70</v>
      </c>
      <c r="F65" s="20">
        <v>143</v>
      </c>
      <c r="G65" s="20">
        <v>86</v>
      </c>
      <c r="H65" s="18">
        <f t="shared" si="0"/>
        <v>12.643356643356643</v>
      </c>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workbookViewId="0">
      <selection activeCell="B18" sqref="B18"/>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41</v>
      </c>
      <c r="B1" s="2"/>
      <c r="C1" s="2"/>
      <c r="D1" s="2"/>
      <c r="E1" s="2"/>
      <c r="F1" s="22" t="s">
        <v>42</v>
      </c>
      <c r="G1" s="23">
        <v>0.7</v>
      </c>
      <c r="H1" s="22" t="s">
        <v>43</v>
      </c>
      <c r="I1" s="24">
        <v>0.3</v>
      </c>
      <c r="J1" s="2"/>
      <c r="K1" s="2"/>
      <c r="L1" s="2"/>
      <c r="M1" s="2"/>
      <c r="N1" s="2"/>
      <c r="O1" s="2"/>
      <c r="P1" s="2"/>
      <c r="Q1" s="2"/>
      <c r="R1" s="2"/>
      <c r="S1" s="2"/>
      <c r="T1" s="2"/>
      <c r="U1" s="2"/>
      <c r="V1" s="2"/>
      <c r="W1" s="2"/>
      <c r="X1" s="2"/>
      <c r="Y1" s="2"/>
      <c r="Z1" s="3"/>
    </row>
    <row r="2" spans="1:26">
      <c r="A2" s="25" t="s">
        <v>44</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45</v>
      </c>
      <c r="C3" s="17" t="s">
        <v>46</v>
      </c>
      <c r="D3" s="17" t="s">
        <v>47</v>
      </c>
      <c r="E3" s="17" t="s">
        <v>48</v>
      </c>
      <c r="F3" s="17" t="s">
        <v>49</v>
      </c>
      <c r="G3" s="17" t="s">
        <v>11</v>
      </c>
      <c r="H3" s="17" t="s">
        <v>13</v>
      </c>
      <c r="I3" s="5"/>
      <c r="J3" s="5"/>
      <c r="K3" s="5"/>
      <c r="L3" s="5"/>
      <c r="M3" s="5"/>
      <c r="N3" s="5"/>
      <c r="O3" s="5"/>
      <c r="P3" s="5"/>
      <c r="Q3" s="5"/>
      <c r="R3" s="5"/>
      <c r="S3" s="5"/>
      <c r="T3" s="5"/>
      <c r="U3" s="5"/>
      <c r="V3" s="5"/>
      <c r="W3" s="5"/>
      <c r="X3" s="5"/>
      <c r="Y3" s="5"/>
      <c r="Z3" s="6"/>
    </row>
    <row r="4" spans="1:26">
      <c r="A4" s="19" t="s">
        <v>26</v>
      </c>
      <c r="B4" s="20">
        <v>-0.5</v>
      </c>
      <c r="C4" s="26">
        <f>COUNTIF('Round Log'!$A$6:$A$65,A4)</f>
        <v>2</v>
      </c>
      <c r="D4" s="21">
        <f>IF(C4=0,"",AVERAGEIF('Round Log'!$A$6:$A$65,A4,'Round Log'!$H$6:$H$65))</f>
        <v>3.4775968992248041</v>
      </c>
      <c r="E4" s="21">
        <f>IF(C4=0,"",_xlfn.MINIFS('Round Log'!$H$6:$H$65,'Round Log'!$A$6:$A$65,A4))</f>
        <v>3.0133333333333288</v>
      </c>
      <c r="F4" s="21">
        <f>IF(OR(D4="",B4=""),"",D4-B4)</f>
        <v>3.9775968992248041</v>
      </c>
      <c r="G4" s="21">
        <f>IF(B4="","",IF(D4="",B4,$G$1*B4+$I$1*D4))</f>
        <v>0.69327906976744125</v>
      </c>
      <c r="H4" s="21">
        <f>IF(G4="","",RANK(G4,$G$4:$G$19,1))</f>
        <v>1</v>
      </c>
      <c r="I4" s="5"/>
      <c r="J4" s="5"/>
      <c r="K4" s="5"/>
      <c r="L4" s="5"/>
      <c r="M4" s="5"/>
      <c r="N4" s="5"/>
      <c r="O4" s="5"/>
      <c r="P4" s="5"/>
      <c r="Q4" s="5"/>
      <c r="R4" s="5"/>
      <c r="S4" s="5"/>
      <c r="T4" s="5"/>
      <c r="U4" s="5"/>
      <c r="V4" s="5"/>
      <c r="W4" s="5"/>
      <c r="X4" s="5"/>
      <c r="Y4" s="5"/>
      <c r="Z4" s="6"/>
    </row>
    <row r="5" spans="1:26">
      <c r="A5" s="19" t="s">
        <v>27</v>
      </c>
      <c r="B5" s="20">
        <v>15.3</v>
      </c>
      <c r="C5" s="26">
        <f>COUNTIF('Round Log'!$A$6:$A$65,A5)</f>
        <v>4</v>
      </c>
      <c r="D5" s="21">
        <f>IF(C5=0,"",AVERAGEIF('Round Log'!$A$6:$A$65,A5,'Round Log'!$H$6:$H$65))</f>
        <v>17.708507326007329</v>
      </c>
      <c r="E5" s="21">
        <f>IF(C5=0,"",_xlfn.MINIFS('Round Log'!$H$6:$H$65,'Round Log'!$A$6:$A$65,A5))</f>
        <v>14.516153846153848</v>
      </c>
      <c r="F5" s="21">
        <f t="shared" ref="F5:F19" si="0">IF(OR(D5="",B5=""),"",D5-B5)</f>
        <v>2.408507326007328</v>
      </c>
      <c r="G5" s="21">
        <f t="shared" ref="G5:G19" si="1">IF(B5="","",IF(D5="",B5,$G$1*B5+$I$1*D5))</f>
        <v>16.022552197802199</v>
      </c>
      <c r="H5" s="21">
        <f t="shared" ref="H5:H19" si="2">IF(G5="","",RANK(G5,$G$4:$G$19,1))</f>
        <v>11</v>
      </c>
      <c r="I5" s="5"/>
      <c r="J5" s="5"/>
      <c r="K5" s="5"/>
      <c r="L5" s="5"/>
      <c r="M5" s="5"/>
      <c r="N5" s="5"/>
      <c r="O5" s="5"/>
      <c r="P5" s="5"/>
      <c r="Q5" s="5"/>
      <c r="R5" s="5"/>
      <c r="S5" s="5"/>
      <c r="T5" s="5"/>
      <c r="U5" s="5"/>
      <c r="V5" s="5"/>
      <c r="W5" s="5"/>
      <c r="X5" s="5"/>
      <c r="Y5" s="5"/>
      <c r="Z5" s="6"/>
    </row>
    <row r="6" spans="1:26">
      <c r="A6" s="19" t="s">
        <v>28</v>
      </c>
      <c r="B6" s="20">
        <v>12.4</v>
      </c>
      <c r="C6" s="26">
        <f>COUNTIF('Round Log'!$A$6:$A$65,A6)</f>
        <v>5</v>
      </c>
      <c r="D6" s="21">
        <f>IF(C6=0,"",AVERAGEIF('Round Log'!$A$6:$A$65,A6,'Round Log'!$H$6:$H$65))</f>
        <v>15.803616634068177</v>
      </c>
      <c r="E6" s="21">
        <f>IF(C6=0,"",_xlfn.MINIFS('Round Log'!$H$6:$H$65,'Round Log'!$A$6:$A$65,A6))</f>
        <v>12.143283582089557</v>
      </c>
      <c r="F6" s="21">
        <f t="shared" si="0"/>
        <v>3.403616634068177</v>
      </c>
      <c r="G6" s="21">
        <f t="shared" si="1"/>
        <v>13.421084990220454</v>
      </c>
      <c r="H6" s="21">
        <f t="shared" si="2"/>
        <v>7</v>
      </c>
      <c r="I6" s="5"/>
      <c r="J6" s="5"/>
      <c r="K6" s="5"/>
      <c r="L6" s="5"/>
      <c r="M6" s="5"/>
      <c r="N6" s="5"/>
      <c r="O6" s="5"/>
      <c r="P6" s="5"/>
      <c r="Q6" s="5"/>
      <c r="R6" s="5"/>
      <c r="S6" s="5"/>
      <c r="T6" s="5"/>
      <c r="U6" s="5"/>
      <c r="V6" s="5"/>
      <c r="W6" s="5"/>
      <c r="X6" s="5"/>
      <c r="Y6" s="5"/>
      <c r="Z6" s="6"/>
    </row>
    <row r="7" spans="1:26">
      <c r="A7" s="19" t="s">
        <v>29</v>
      </c>
      <c r="B7" s="20">
        <v>15.2</v>
      </c>
      <c r="C7" s="26">
        <f>COUNTIF('Round Log'!$A$6:$A$65,A7)</f>
        <v>3</v>
      </c>
      <c r="D7" s="21">
        <f>IF(C7=0,"",AVERAGEIF('Round Log'!$A$6:$A$65,A7,'Round Log'!$H$6:$H$65))</f>
        <v>14.943242281175065</v>
      </c>
      <c r="E7" s="21">
        <f>IF(C7=0,"",_xlfn.MINIFS('Round Log'!$H$6:$H$65,'Round Log'!$A$6:$A$65,A7))</f>
        <v>11.829687500000006</v>
      </c>
      <c r="F7" s="21">
        <f t="shared" si="0"/>
        <v>-0.25675771882493414</v>
      </c>
      <c r="G7" s="21">
        <f t="shared" si="1"/>
        <v>15.122972684352519</v>
      </c>
      <c r="H7" s="21">
        <f t="shared" si="2"/>
        <v>9</v>
      </c>
      <c r="I7" s="5"/>
      <c r="J7" s="5"/>
      <c r="K7" s="5"/>
      <c r="L7" s="5"/>
      <c r="M7" s="5"/>
      <c r="N7" s="5"/>
      <c r="O7" s="5"/>
      <c r="P7" s="5"/>
      <c r="Q7" s="5"/>
      <c r="R7" s="5"/>
      <c r="S7" s="5"/>
      <c r="T7" s="5"/>
      <c r="U7" s="5"/>
      <c r="V7" s="5"/>
      <c r="W7" s="5"/>
      <c r="X7" s="5"/>
      <c r="Y7" s="5"/>
      <c r="Z7" s="6"/>
    </row>
    <row r="8" spans="1:26">
      <c r="A8" s="19" t="s">
        <v>30</v>
      </c>
      <c r="B8" s="20">
        <v>20.2</v>
      </c>
      <c r="C8" s="26">
        <f>COUNTIF('Round Log'!$A$6:$A$65,A8)</f>
        <v>4</v>
      </c>
      <c r="D8" s="21">
        <f>IF(C8=0,"",AVERAGEIF('Round Log'!$A$6:$A$65,A8,'Round Log'!$H$6:$H$65))</f>
        <v>21.186973088196108</v>
      </c>
      <c r="E8" s="21">
        <f>IF(C8=0,"",_xlfn.MINIFS('Round Log'!$H$6:$H$65,'Round Log'!$A$6:$A$65,A8))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31</v>
      </c>
      <c r="B9" s="20">
        <v>5.9</v>
      </c>
      <c r="C9" s="26">
        <f>COUNTIF('Round Log'!$A$6:$A$65,A9)</f>
        <v>5</v>
      </c>
      <c r="D9" s="21">
        <f>IF(C9=0,"",AVERAGEIF('Round Log'!$A$6:$A$65,A9,'Round Log'!$H$6:$H$65))</f>
        <v>9.6404647117588347</v>
      </c>
      <c r="E9" s="21">
        <f>IF(C9=0,"",_xlfn.MINIFS('Round Log'!$H$6:$H$65,'Round Log'!$A$6:$A$65,A9))</f>
        <v>4.9546153846153871</v>
      </c>
      <c r="F9" s="21">
        <f t="shared" si="0"/>
        <v>3.7404647117588343</v>
      </c>
      <c r="G9" s="21">
        <f t="shared" si="1"/>
        <v>7.0221394135276505</v>
      </c>
      <c r="H9" s="21">
        <f t="shared" si="2"/>
        <v>3</v>
      </c>
      <c r="I9" s="5"/>
      <c r="J9" s="5"/>
      <c r="K9" s="5"/>
      <c r="L9" s="5"/>
      <c r="M9" s="5"/>
      <c r="N9" s="5"/>
      <c r="O9" s="5"/>
      <c r="P9" s="5"/>
      <c r="Q9" s="5"/>
      <c r="R9" s="5"/>
      <c r="S9" s="5"/>
      <c r="T9" s="5"/>
      <c r="U9" s="5"/>
      <c r="V9" s="5"/>
      <c r="W9" s="5"/>
      <c r="X9" s="5"/>
      <c r="Y9" s="5"/>
      <c r="Z9" s="6"/>
    </row>
    <row r="10" spans="1:26">
      <c r="A10" s="19" t="s">
        <v>32</v>
      </c>
      <c r="B10" s="20">
        <v>28.4</v>
      </c>
      <c r="C10" s="26">
        <f>COUNTIF('Round Log'!$A$6:$A$65,A10)</f>
        <v>1</v>
      </c>
      <c r="D10" s="21">
        <f>IF(C10=0,"",AVERAGEIF('Round Log'!$A$6:$A$65,A10,'Round Log'!$H$6:$H$65))</f>
        <v>34.387769784172662</v>
      </c>
      <c r="E10" s="21">
        <f>IF(C10=0,"",_xlfn.MINIFS('Round Log'!$H$6:$H$65,'Round Log'!$A$6:$A$65,A10))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33</v>
      </c>
      <c r="B11" s="20">
        <v>17</v>
      </c>
      <c r="C11" s="26">
        <f>COUNTIF('Round Log'!$A$6:$A$65,A11)</f>
        <v>4</v>
      </c>
      <c r="D11" s="21">
        <f>IF(C11=0,"",AVERAGEIF('Round Log'!$A$6:$A$65,A11,'Round Log'!$H$6:$H$65))</f>
        <v>23.89765616015584</v>
      </c>
      <c r="E11" s="21">
        <f>IF(C11=0,"",_xlfn.MINIFS('Round Log'!$H$6:$H$65,'Round Log'!$A$6:$A$65,A11))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34</v>
      </c>
      <c r="B12" s="20">
        <v>6.4</v>
      </c>
      <c r="C12" s="26">
        <f>COUNTIF('Round Log'!$A$6:$A$65,A12)</f>
        <v>4</v>
      </c>
      <c r="D12" s="21">
        <f>IF(C12=0,"",AVERAGEIF('Round Log'!$A$6:$A$65,A12,'Round Log'!$H$6:$H$65))</f>
        <v>7.2100746268656684</v>
      </c>
      <c r="E12" s="21">
        <f>IF(C12=0,"",_xlfn.MINIFS('Round Log'!$H$6:$H$65,'Round Log'!$A$6:$A$65,A12))</f>
        <v>4.4694029850746242</v>
      </c>
      <c r="F12" s="21">
        <f t="shared" si="0"/>
        <v>0.810074626865668</v>
      </c>
      <c r="G12" s="21">
        <f t="shared" si="1"/>
        <v>6.6430223880597001</v>
      </c>
      <c r="H12" s="21">
        <f t="shared" si="2"/>
        <v>2</v>
      </c>
      <c r="I12" s="5"/>
      <c r="J12" s="5"/>
      <c r="K12" s="5"/>
      <c r="L12" s="5"/>
      <c r="M12" s="5"/>
      <c r="N12" s="5"/>
      <c r="O12" s="5"/>
      <c r="P12" s="5"/>
      <c r="Q12" s="5"/>
      <c r="R12" s="5"/>
      <c r="S12" s="5"/>
      <c r="T12" s="5"/>
      <c r="U12" s="5"/>
      <c r="V12" s="5"/>
      <c r="W12" s="5"/>
      <c r="X12" s="5"/>
      <c r="Y12" s="5"/>
      <c r="Z12" s="6"/>
    </row>
    <row r="13" spans="1:26">
      <c r="A13" s="19" t="s">
        <v>35</v>
      </c>
      <c r="B13" s="20">
        <v>8.9</v>
      </c>
      <c r="C13" s="26">
        <f>COUNTIF('Round Log'!$A$6:$A$65,A13)</f>
        <v>4</v>
      </c>
      <c r="D13" s="21">
        <f>IF(C13=0,"",AVERAGEIF('Round Log'!$A$6:$A$65,A13,'Round Log'!$H$6:$H$65))</f>
        <v>9.4119141411370766</v>
      </c>
      <c r="E13" s="21">
        <f>IF(C13=0,"",_xlfn.MINIFS('Round Log'!$H$6:$H$65,'Round Log'!$A$6:$A$65,A13))</f>
        <v>6.4113475177304968</v>
      </c>
      <c r="F13" s="21">
        <f t="shared" si="0"/>
        <v>0.51191414113707623</v>
      </c>
      <c r="G13" s="21">
        <f t="shared" si="1"/>
        <v>9.0535742423411225</v>
      </c>
      <c r="H13" s="21">
        <f t="shared" si="2"/>
        <v>4</v>
      </c>
      <c r="I13" s="5"/>
      <c r="J13" s="5"/>
      <c r="K13" s="5"/>
      <c r="L13" s="5"/>
      <c r="M13" s="5"/>
      <c r="N13" s="5"/>
      <c r="O13" s="5"/>
      <c r="P13" s="5"/>
      <c r="Q13" s="5"/>
      <c r="R13" s="5"/>
      <c r="S13" s="5"/>
      <c r="T13" s="5"/>
      <c r="U13" s="5"/>
      <c r="V13" s="5"/>
      <c r="W13" s="5"/>
      <c r="X13" s="5"/>
      <c r="Y13" s="5"/>
      <c r="Z13" s="6"/>
    </row>
    <row r="14" spans="1:26">
      <c r="A14" s="19" t="s">
        <v>36</v>
      </c>
      <c r="B14" s="20">
        <v>11.8</v>
      </c>
      <c r="C14" s="26">
        <f>COUNTIF('Round Log'!$A$6:$A$65,A14)</f>
        <v>4</v>
      </c>
      <c r="D14" s="21">
        <f>IF(C14=0,"",AVERAGEIF('Round Log'!$A$6:$A$65,A14,'Round Log'!$H$6:$H$65))</f>
        <v>13.688908966648441</v>
      </c>
      <c r="E14" s="21">
        <f>IF(C14=0,"",_xlfn.MINIFS('Round Log'!$H$6:$H$65,'Round Log'!$A$6:$A$65,A14))</f>
        <v>8.9306451612903199</v>
      </c>
      <c r="F14" s="21">
        <f t="shared" si="0"/>
        <v>1.8889089666484402</v>
      </c>
      <c r="G14" s="21">
        <f t="shared" si="1"/>
        <v>12.366672689994532</v>
      </c>
      <c r="H14" s="21">
        <f t="shared" si="2"/>
        <v>6</v>
      </c>
      <c r="I14" s="5"/>
      <c r="J14" s="5"/>
      <c r="K14" s="5"/>
      <c r="L14" s="5"/>
      <c r="M14" s="5"/>
      <c r="N14" s="5"/>
      <c r="O14" s="5"/>
      <c r="P14" s="5"/>
      <c r="Q14" s="5"/>
      <c r="R14" s="5"/>
      <c r="S14" s="5"/>
      <c r="T14" s="5"/>
      <c r="U14" s="5"/>
      <c r="V14" s="5"/>
      <c r="W14" s="5"/>
      <c r="X14" s="5"/>
      <c r="Y14" s="5"/>
      <c r="Z14" s="6"/>
    </row>
    <row r="15" spans="1:26">
      <c r="A15" s="19" t="s">
        <v>37</v>
      </c>
      <c r="B15" s="20">
        <v>16.899999999999999</v>
      </c>
      <c r="C15" s="26">
        <f>COUNTIF('Round Log'!$A$6:$A$65,A15)</f>
        <v>6</v>
      </c>
      <c r="D15" s="21">
        <f>IF(C15=0,"",AVERAGEIF('Round Log'!$A$6:$A$65,A15,'Round Log'!$H$6:$H$65))</f>
        <v>18.211588639536131</v>
      </c>
      <c r="E15" s="21">
        <f>IF(C15=0,"",_xlfn.MINIFS('Round Log'!$H$6:$H$65,'Round Log'!$A$6:$A$65,A15))</f>
        <v>14.588805970149251</v>
      </c>
      <c r="F15" s="21">
        <f t="shared" si="0"/>
        <v>1.3115886395361329</v>
      </c>
      <c r="G15" s="21">
        <f t="shared" si="1"/>
        <v>17.293476591860838</v>
      </c>
      <c r="H15" s="21">
        <f t="shared" si="2"/>
        <v>12</v>
      </c>
      <c r="I15" s="5"/>
      <c r="J15" s="5"/>
      <c r="K15" s="5"/>
      <c r="L15" s="5"/>
      <c r="M15" s="5"/>
      <c r="N15" s="5"/>
      <c r="O15" s="5"/>
      <c r="P15" s="5"/>
      <c r="Q15" s="5"/>
      <c r="R15" s="5"/>
      <c r="S15" s="5"/>
      <c r="T15" s="5"/>
      <c r="U15" s="5"/>
      <c r="V15" s="5"/>
      <c r="W15" s="5"/>
      <c r="X15" s="5"/>
      <c r="Y15" s="5"/>
      <c r="Z15" s="6"/>
    </row>
    <row r="16" spans="1:26">
      <c r="A16" s="19" t="s">
        <v>38</v>
      </c>
      <c r="B16" s="20">
        <v>9.9</v>
      </c>
      <c r="C16" s="26">
        <f>COUNTIF('Round Log'!$A$6:$A$65,A16)</f>
        <v>6</v>
      </c>
      <c r="D16" s="21">
        <f>IF(C16=0,"",AVERAGEIF('Round Log'!$A$6:$A$65,A16,'Round Log'!$H$6:$H$65))</f>
        <v>12.785676215006925</v>
      </c>
      <c r="E16" s="21">
        <f>IF(C16=0,"",_xlfn.MINIFS('Round Log'!$H$6:$H$65,'Round Log'!$A$6:$A$65,A16))</f>
        <v>3.8259842519685017</v>
      </c>
      <c r="F16" s="21">
        <f t="shared" si="0"/>
        <v>2.8856762150069244</v>
      </c>
      <c r="G16" s="21">
        <f t="shared" si="1"/>
        <v>10.765702864502078</v>
      </c>
      <c r="H16" s="21">
        <f t="shared" si="2"/>
        <v>5</v>
      </c>
      <c r="I16" s="5"/>
      <c r="J16" s="5"/>
      <c r="K16" s="5"/>
      <c r="L16" s="5"/>
      <c r="M16" s="5"/>
      <c r="N16" s="5"/>
      <c r="O16" s="5"/>
      <c r="P16" s="5"/>
      <c r="Q16" s="5"/>
      <c r="R16" s="5"/>
      <c r="S16" s="5"/>
      <c r="T16" s="5"/>
      <c r="U16" s="5"/>
      <c r="V16" s="5"/>
      <c r="W16" s="5"/>
      <c r="X16" s="5"/>
      <c r="Y16" s="5"/>
      <c r="Z16" s="6"/>
    </row>
    <row r="17" spans="1:26">
      <c r="A17" s="19" t="s">
        <v>39</v>
      </c>
      <c r="B17" s="20">
        <v>14.2</v>
      </c>
      <c r="C17" s="26">
        <f>COUNTIF('Round Log'!$A$6:$A$65,A17)</f>
        <v>4</v>
      </c>
      <c r="D17" s="21">
        <f>IF(C17=0,"",AVERAGEIF('Round Log'!$A$6:$A$65,A17,'Round Log'!$H$6:$H$65))</f>
        <v>18.733767447460217</v>
      </c>
      <c r="E17" s="21">
        <f>IF(C17=0,"",_xlfn.MINIFS('Round Log'!$H$6:$H$65,'Round Log'!$A$6:$A$65,A17))</f>
        <v>16.643410852713178</v>
      </c>
      <c r="F17" s="21">
        <f t="shared" si="0"/>
        <v>4.5337674474602174</v>
      </c>
      <c r="G17" s="21">
        <f t="shared" si="1"/>
        <v>15.560130234238065</v>
      </c>
      <c r="H17" s="21">
        <f t="shared" si="2"/>
        <v>10</v>
      </c>
      <c r="I17" s="5"/>
      <c r="J17" s="5"/>
      <c r="K17" s="5"/>
      <c r="L17" s="5"/>
      <c r="M17" s="5"/>
      <c r="N17" s="5"/>
      <c r="O17" s="5"/>
      <c r="P17" s="5"/>
      <c r="Q17" s="5"/>
      <c r="R17" s="5"/>
      <c r="S17" s="5"/>
      <c r="T17" s="5"/>
      <c r="U17" s="5"/>
      <c r="V17" s="5"/>
      <c r="W17" s="5"/>
      <c r="X17" s="5"/>
      <c r="Y17" s="5"/>
      <c r="Z17" s="6"/>
    </row>
    <row r="18" spans="1:26">
      <c r="A18" s="19" t="s">
        <v>40</v>
      </c>
      <c r="B18" s="20">
        <v>14.8</v>
      </c>
      <c r="C18" s="26">
        <f>COUNTIF('Round Log'!$A$6:$A$65,A18)</f>
        <v>4</v>
      </c>
      <c r="D18" s="21">
        <f>IF(C18=0,"",AVERAGEIF('Round Log'!$A$6:$A$65,A18,'Round Log'!$H$6:$H$65))</f>
        <v>14.807814511359286</v>
      </c>
      <c r="E18" s="21">
        <f>IF(C18=0,"",_xlfn.MINIFS('Round Log'!$H$6:$H$65,'Round Log'!$A$6:$A$65,A18))</f>
        <v>12.643356643356643</v>
      </c>
      <c r="F18" s="21">
        <f t="shared" si="0"/>
        <v>7.8145113592853477E-3</v>
      </c>
      <c r="G18" s="21">
        <f t="shared" si="1"/>
        <v>14.802344353407786</v>
      </c>
      <c r="H18" s="21">
        <f t="shared" si="2"/>
        <v>8</v>
      </c>
      <c r="I18" s="5"/>
      <c r="J18" s="5"/>
      <c r="K18" s="5"/>
      <c r="L18" s="5"/>
      <c r="M18" s="5"/>
      <c r="N18" s="5"/>
      <c r="O18" s="5"/>
      <c r="P18" s="5"/>
      <c r="Q18" s="5"/>
      <c r="R18" s="5"/>
      <c r="S18" s="5"/>
      <c r="T18" s="5"/>
      <c r="U18" s="5"/>
      <c r="V18" s="5"/>
      <c r="W18" s="5"/>
      <c r="X18" s="5"/>
      <c r="Y18" s="5"/>
      <c r="Z18" s="6"/>
    </row>
    <row r="19" spans="1:26">
      <c r="A19" s="19" t="s">
        <v>50</v>
      </c>
      <c r="B19" s="20">
        <v>22.8</v>
      </c>
      <c r="C19" s="26">
        <f>COUNTIF('Round Log'!$A$6:$A$65,A19)</f>
        <v>0</v>
      </c>
      <c r="D19" s="21" t="str">
        <f>IF(C19=0,"",AVERAGEIF('Round Log'!$A$6:$A$65,A19,'Round Log'!$H$6:$H$65))</f>
        <v/>
      </c>
      <c r="E19" s="21" t="str">
        <f>IF(C19=0,"",_xlfn.MINIFS('Round Log'!$H$6:$H$65,'Round Log'!$A$6:$A$65,A19))</f>
        <v/>
      </c>
      <c r="F19" s="21" t="str">
        <f t="shared" si="0"/>
        <v/>
      </c>
      <c r="G19" s="21">
        <f t="shared" si="1"/>
        <v>22.8</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51</v>
      </c>
      <c r="B1" s="2"/>
      <c r="C1" s="2"/>
      <c r="D1" s="2"/>
      <c r="E1" s="2"/>
      <c r="F1" s="2"/>
      <c r="G1" s="2"/>
      <c r="H1" s="2"/>
      <c r="I1" s="2"/>
      <c r="J1" s="2"/>
      <c r="K1" s="2"/>
      <c r="L1" s="2"/>
      <c r="M1" s="2"/>
      <c r="N1" s="2"/>
      <c r="O1" s="2"/>
      <c r="P1" s="2"/>
      <c r="Q1" s="2"/>
      <c r="R1" s="2"/>
      <c r="S1" s="2"/>
      <c r="T1" s="2"/>
      <c r="U1" s="2"/>
      <c r="V1" s="2"/>
      <c r="W1" s="2"/>
      <c r="X1" s="2"/>
      <c r="Y1" s="2"/>
      <c r="Z1" s="3"/>
    </row>
    <row r="2" spans="1:26">
      <c r="A2" s="4" t="s">
        <v>52</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53</v>
      </c>
      <c r="B4" s="17" t="s">
        <v>54</v>
      </c>
      <c r="C4" s="17" t="s">
        <v>55</v>
      </c>
      <c r="D4" s="17" t="s">
        <v>45</v>
      </c>
      <c r="E4" s="17" t="s">
        <v>56</v>
      </c>
      <c r="F4" s="5"/>
      <c r="G4" s="5"/>
      <c r="H4" s="5"/>
      <c r="I4" s="5"/>
      <c r="J4" s="5"/>
      <c r="K4" s="5"/>
      <c r="L4" s="5"/>
      <c r="M4" s="5"/>
      <c r="N4" s="5"/>
      <c r="O4" s="5"/>
      <c r="P4" s="5"/>
      <c r="Q4" s="5"/>
      <c r="R4" s="5"/>
      <c r="S4" s="5"/>
      <c r="T4" s="5"/>
      <c r="U4" s="5"/>
      <c r="V4" s="5"/>
      <c r="W4" s="5"/>
      <c r="X4" s="5"/>
      <c r="Y4" s="5"/>
      <c r="Z4" s="6"/>
    </row>
    <row r="5" spans="1:26">
      <c r="A5" s="27">
        <v>1</v>
      </c>
      <c r="B5" s="26" t="s">
        <v>57</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58</v>
      </c>
      <c r="C6" s="20"/>
      <c r="D6" s="21"/>
      <c r="E6" s="21"/>
      <c r="F6" s="5"/>
      <c r="G6" s="5"/>
      <c r="H6" s="5"/>
      <c r="I6" s="5"/>
      <c r="J6" s="5"/>
      <c r="K6" s="5"/>
      <c r="L6" s="5"/>
      <c r="M6" s="5"/>
      <c r="N6" s="5"/>
      <c r="O6" s="5"/>
      <c r="P6" s="5"/>
      <c r="Q6" s="5"/>
      <c r="R6" s="5"/>
      <c r="S6" s="5"/>
      <c r="T6" s="5"/>
      <c r="U6" s="5"/>
      <c r="V6" s="5"/>
      <c r="W6" s="5"/>
      <c r="X6" s="5"/>
      <c r="Y6" s="5"/>
      <c r="Z6" s="6"/>
    </row>
    <row r="7" spans="1:26">
      <c r="A7" s="27">
        <v>3</v>
      </c>
      <c r="B7" s="26" t="s">
        <v>58</v>
      </c>
      <c r="C7" s="20"/>
      <c r="D7" s="21"/>
      <c r="E7" s="21"/>
      <c r="F7" s="5"/>
      <c r="G7" s="5"/>
      <c r="H7" s="5"/>
      <c r="I7" s="5"/>
      <c r="J7" s="5"/>
      <c r="K7" s="5"/>
      <c r="L7" s="5"/>
      <c r="M7" s="5"/>
      <c r="N7" s="5"/>
      <c r="O7" s="5"/>
      <c r="P7" s="5"/>
      <c r="Q7" s="5"/>
      <c r="R7" s="5"/>
      <c r="S7" s="5"/>
      <c r="T7" s="5"/>
      <c r="U7" s="5"/>
      <c r="V7" s="5"/>
      <c r="W7" s="5"/>
      <c r="X7" s="5"/>
      <c r="Y7" s="5"/>
      <c r="Z7" s="6"/>
    </row>
    <row r="8" spans="1:26">
      <c r="A8" s="27">
        <v>4</v>
      </c>
      <c r="B8" s="26" t="s">
        <v>57</v>
      </c>
      <c r="C8" s="20"/>
      <c r="D8" s="21"/>
      <c r="E8" s="21"/>
      <c r="F8" s="5"/>
      <c r="G8" s="5"/>
      <c r="H8" s="5"/>
      <c r="I8" s="5"/>
      <c r="J8" s="5"/>
      <c r="K8" s="5"/>
      <c r="L8" s="5"/>
      <c r="M8" s="5"/>
      <c r="N8" s="5"/>
      <c r="O8" s="5"/>
      <c r="P8" s="5"/>
      <c r="Q8" s="5"/>
      <c r="R8" s="5"/>
      <c r="S8" s="5"/>
      <c r="T8" s="5"/>
      <c r="U8" s="5"/>
      <c r="V8" s="5"/>
      <c r="W8" s="5"/>
      <c r="X8" s="5"/>
      <c r="Y8" s="5"/>
      <c r="Z8" s="6"/>
    </row>
    <row r="9" spans="1:26">
      <c r="A9" s="27">
        <v>5</v>
      </c>
      <c r="B9" s="26" t="s">
        <v>57</v>
      </c>
      <c r="C9" s="20"/>
      <c r="D9" s="21"/>
      <c r="E9" s="21"/>
      <c r="F9" s="5"/>
      <c r="G9" s="5"/>
      <c r="H9" s="5"/>
      <c r="I9" s="5"/>
      <c r="J9" s="5"/>
      <c r="K9" s="5"/>
      <c r="L9" s="5"/>
      <c r="M9" s="5"/>
      <c r="N9" s="5"/>
      <c r="O9" s="5"/>
      <c r="P9" s="5"/>
      <c r="Q9" s="5"/>
      <c r="R9" s="5"/>
      <c r="S9" s="5"/>
      <c r="T9" s="5"/>
      <c r="U9" s="5"/>
      <c r="V9" s="5"/>
      <c r="W9" s="5"/>
      <c r="X9" s="5"/>
      <c r="Y9" s="5"/>
      <c r="Z9" s="6"/>
    </row>
    <row r="10" spans="1:26">
      <c r="A10" s="27">
        <v>6</v>
      </c>
      <c r="B10" s="26" t="s">
        <v>58</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58</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57</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57</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58</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58</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57</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57</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58</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58</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57</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2026-08-07T16:40:48Z</dcterms:modified>
  <cp:category/>
  <cp:contentStatus/>
</cp:coreProperties>
</file>
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1"/>
  <workbookPr defaultThemeVersion="166925"/>
  <xr:revisionPtr revIDLastSave="656" documentId="11_E60897F41BE170836B02CE998F75CCDC64E183C8" xr6:coauthVersionLast="47" xr6:coauthVersionMax="47" xr10:uidLastSave="{6E8C91AD-A6C8-45B1-912B-933E24521F21}"/>
  <bookViews>
    <workbookView xWindow="240" yWindow="105" windowWidth="14805" windowHeight="8010" firstSheet="1" activeTab="2"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99" i="2" l="1"/>
  <c r="H100" i="2"/>
  <c r="H101" i="2"/>
  <c r="H102" i="2"/>
  <c r="H103" i="2"/>
  <c r="H104" i="2"/>
  <c r="H105" i="2"/>
  <c r="H106" i="2"/>
  <c r="H94" i="2"/>
  <c r="H95" i="2"/>
  <c r="H96" i="2"/>
  <c r="H97" i="2"/>
  <c r="H98" i="2"/>
  <c r="H107" i="2"/>
  <c r="C5" i="3"/>
  <c r="C6" i="3"/>
  <c r="C7" i="3"/>
  <c r="C8" i="3"/>
  <c r="C9" i="3"/>
  <c r="C10" i="3"/>
  <c r="C11" i="3"/>
  <c r="C12" i="3"/>
  <c r="C13" i="3"/>
  <c r="C14" i="3"/>
  <c r="C15" i="3"/>
  <c r="C16" i="3"/>
  <c r="C17" i="3"/>
  <c r="C18" i="3"/>
  <c r="C19" i="3"/>
  <c r="E5" i="3"/>
  <c r="E6" i="3"/>
  <c r="E7" i="3"/>
  <c r="E8" i="3"/>
  <c r="E10" i="3"/>
  <c r="E11" i="3"/>
  <c r="E13" i="3"/>
  <c r="E14" i="3"/>
  <c r="E16" i="3"/>
  <c r="E17" i="3"/>
  <c r="E18" i="3"/>
  <c r="E19" i="3"/>
  <c r="D5" i="3"/>
  <c r="D6" i="3"/>
  <c r="D7" i="3"/>
  <c r="D8" i="3"/>
  <c r="D10" i="3"/>
  <c r="D11" i="3"/>
  <c r="D13" i="3"/>
  <c r="D14" i="3"/>
  <c r="D16" i="3"/>
  <c r="D17" i="3"/>
  <c r="D18" i="3"/>
  <c r="D19" i="3"/>
  <c r="E20" i="3"/>
  <c r="F19" i="3"/>
  <c r="G19" i="3"/>
  <c r="C4" i="3"/>
  <c r="H84" i="2"/>
  <c r="H85" i="2"/>
  <c r="H86" i="2"/>
  <c r="H87" i="2"/>
  <c r="H88" i="2"/>
  <c r="H89" i="2"/>
  <c r="H90" i="2"/>
  <c r="H91" i="2"/>
  <c r="H92" i="2"/>
  <c r="H93" i="2"/>
  <c r="H78" i="2"/>
  <c r="H79" i="2"/>
  <c r="H80" i="2"/>
  <c r="H81" i="2"/>
  <c r="H82" i="2"/>
  <c r="H83" i="2"/>
  <c r="H75" i="2"/>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F16" i="3"/>
  <c r="G16" i="3"/>
  <c r="F17" i="3"/>
  <c r="G17" i="3"/>
  <c r="F18" i="3"/>
  <c r="G18"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E15" i="3" l="1"/>
  <c r="D15" i="3"/>
  <c r="E12" i="3"/>
  <c r="D12" i="3"/>
  <c r="E9" i="3"/>
  <c r="D9" i="3"/>
  <c r="D4" i="3"/>
  <c r="E4" i="3"/>
  <c r="F5" i="3"/>
  <c r="G5" i="3"/>
  <c r="F6" i="3"/>
  <c r="G6" i="3"/>
  <c r="F7" i="3"/>
  <c r="G7" i="3"/>
  <c r="F8" i="3"/>
  <c r="G8" i="3"/>
  <c r="F9" i="3"/>
  <c r="G9" i="3"/>
  <c r="F10" i="3"/>
  <c r="G10" i="3"/>
  <c r="F11" i="3"/>
  <c r="G11" i="3"/>
  <c r="F12" i="3"/>
  <c r="G12" i="3"/>
  <c r="F13" i="3"/>
  <c r="G13" i="3"/>
  <c r="F14" i="3"/>
  <c r="G14" i="3"/>
  <c r="F4" i="3"/>
  <c r="G4" i="3"/>
  <c r="F15" i="3" l="1"/>
  <c r="G15" i="3"/>
  <c r="H19" i="3"/>
  <c r="H18" i="3"/>
  <c r="H17" i="3"/>
  <c r="H16" i="3"/>
  <c r="H15" i="3"/>
  <c r="H14" i="3"/>
  <c r="H13" i="3"/>
  <c r="H12" i="3"/>
  <c r="H8" i="3"/>
  <c r="H7" i="3"/>
  <c r="H6" i="3"/>
  <c r="H4" i="3"/>
  <c r="H5" i="3"/>
  <c r="H11" i="3"/>
  <c r="H10" i="3"/>
  <c r="H9" i="3"/>
</calcChain>
</file>

<file path=xl/sharedStrings.xml><?xml version="1.0" encoding="utf-8"?>
<sst xmlns="http://schemas.openxmlformats.org/spreadsheetml/2006/main" count="178" uniqueCount="60">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</sst>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opLeftCell="A89" workbookViewId="0">
      <selection activeCell="H104" sqref="H104"/>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t="s">
        <v>35</v>
      </c>
      <c r="B74" s="29">
        <v>46235</v>
      </c>
      <c r="C74" s="20"/>
      <c r="D74" s="20"/>
      <c r="E74" s="20">
        <v>71.900000000000006</v>
      </c>
      <c r="F74" s="20">
        <v>121</v>
      </c>
      <c r="G74" s="20">
        <v>77</v>
      </c>
      <c r="H74" s="18">
        <f>IF(OR(A74="",E74="",F74="",G74=""),"",(G74-E74)*113/F74)</f>
        <v>4.7628099173553666</v>
      </c>
      <c r="I74" s="5"/>
      <c r="J74" s="5"/>
      <c r="K74" s="5"/>
      <c r="L74" s="5"/>
      <c r="M74" s="5"/>
      <c r="N74" s="5"/>
      <c r="O74" s="5"/>
      <c r="P74" s="5"/>
      <c r="Q74" s="5"/>
      <c r="R74" s="5"/>
      <c r="S74" s="5"/>
      <c r="T74" s="5"/>
      <c r="U74" s="5"/>
      <c r="V74" s="5"/>
      <c r="W74" s="5"/>
      <c r="X74" s="5"/>
      <c r="Y74" s="5"/>
      <c r="Z74" s="6"/>
    </row>
    <row r="75" spans="1:26">
      <c r="A75" s="19" t="s">
        <v>35</v>
      </c>
      <c r="B75" s="29">
        <v>46235</v>
      </c>
      <c r="C75" s="20"/>
      <c r="D75" s="20"/>
      <c r="E75" s="20">
        <v>74.400000000000006</v>
      </c>
      <c r="F75" s="20">
        <v>134</v>
      </c>
      <c r="G75" s="20">
        <v>75</v>
      </c>
      <c r="H75" s="18">
        <f>IF(OR(A75="",E75="",F75="",G75=""),"",(G75-E75)*113/F75)</f>
        <v>0.50597014925372652</v>
      </c>
      <c r="I75" s="5"/>
      <c r="J75" s="5"/>
      <c r="K75" s="5"/>
      <c r="L75" s="5"/>
      <c r="M75" s="5"/>
      <c r="N75" s="5"/>
      <c r="O75" s="5"/>
      <c r="P75" s="5"/>
      <c r="Q75" s="5"/>
      <c r="R75" s="5"/>
      <c r="S75" s="5"/>
      <c r="T75" s="5"/>
      <c r="U75" s="5"/>
      <c r="V75" s="5"/>
      <c r="W75" s="5"/>
      <c r="X75" s="5"/>
      <c r="Y75" s="5"/>
      <c r="Z75" s="6"/>
    </row>
    <row r="76" spans="1:26">
      <c r="A76" s="19" t="s">
        <v>35</v>
      </c>
      <c r="B76" s="29">
        <v>46235</v>
      </c>
      <c r="C76" s="20"/>
      <c r="D76" s="20"/>
      <c r="E76" s="20">
        <v>73</v>
      </c>
      <c r="F76" s="20">
        <v>143</v>
      </c>
      <c r="G76" s="20">
        <v>77</v>
      </c>
      <c r="H76" s="18">
        <f>IF(OR(A76="",E76="",F76="",G76=""),"",(G76-E76)*113/F76)</f>
        <v>3.1608391608391608</v>
      </c>
      <c r="I76" s="5"/>
      <c r="J76" s="5"/>
      <c r="K76" s="5"/>
      <c r="L76" s="5"/>
      <c r="M76" s="5"/>
      <c r="N76" s="5"/>
      <c r="O76" s="5"/>
      <c r="P76" s="5"/>
      <c r="Q76" s="5"/>
      <c r="R76" s="5"/>
      <c r="S76" s="5"/>
      <c r="T76" s="5"/>
      <c r="U76" s="5"/>
      <c r="V76" s="5"/>
      <c r="W76" s="5"/>
      <c r="X76" s="5"/>
      <c r="Y76" s="5"/>
      <c r="Z76" s="6"/>
    </row>
    <row r="77" spans="1:26">
      <c r="A77" s="19" t="s">
        <v>30</v>
      </c>
      <c r="B77" s="29">
        <v>46235</v>
      </c>
      <c r="C77" s="20"/>
      <c r="D77" s="20"/>
      <c r="E77" s="20">
        <v>71.400000000000006</v>
      </c>
      <c r="F77" s="20">
        <v>135</v>
      </c>
      <c r="G77" s="20">
        <v>103</v>
      </c>
      <c r="H77" s="18">
        <f>IF(OR(A77="",E77="",F77="",G77=""),"",(G77-E77)*113/F77)</f>
        <v>26.450370370370365</v>
      </c>
      <c r="I77" s="5"/>
      <c r="J77" s="5"/>
      <c r="K77" s="5"/>
      <c r="L77" s="5"/>
      <c r="M77" s="5"/>
      <c r="N77" s="5"/>
      <c r="O77" s="5"/>
      <c r="P77" s="5"/>
      <c r="Q77" s="5"/>
      <c r="R77" s="5"/>
      <c r="S77" s="5"/>
      <c r="T77" s="5"/>
      <c r="U77" s="5"/>
      <c r="V77" s="5"/>
      <c r="W77" s="5"/>
      <c r="X77" s="5"/>
      <c r="Y77" s="5"/>
      <c r="Z77" s="6"/>
    </row>
    <row r="78" spans="1:26">
      <c r="A78" s="19" t="s">
        <v>34</v>
      </c>
      <c r="B78" s="29">
        <v>46235</v>
      </c>
      <c r="C78" s="20"/>
      <c r="D78" s="20"/>
      <c r="E78" s="20">
        <v>68.8</v>
      </c>
      <c r="F78" s="20">
        <v>119</v>
      </c>
      <c r="G78" s="20">
        <v>87</v>
      </c>
      <c r="H78" s="18">
        <f t="shared" ref="H78:H93" si="0">IF(OR(A78="",E78="",F78="",G78=""),"",(G78-E78)*113/F78)</f>
        <v>17.282352941176473</v>
      </c>
      <c r="I78" s="5"/>
      <c r="J78" s="5"/>
      <c r="K78" s="5"/>
      <c r="L78" s="5"/>
      <c r="M78" s="5"/>
      <c r="N78" s="5"/>
      <c r="O78" s="5"/>
      <c r="P78" s="5"/>
      <c r="Q78" s="5"/>
      <c r="R78" s="5"/>
      <c r="S78" s="5"/>
      <c r="T78" s="5"/>
      <c r="U78" s="5"/>
      <c r="V78" s="5"/>
      <c r="W78" s="5"/>
      <c r="X78" s="5"/>
      <c r="Y78" s="5"/>
      <c r="Z78" s="6"/>
    </row>
    <row r="79" spans="1:26">
      <c r="A79" s="19" t="s">
        <v>32</v>
      </c>
      <c r="B79" s="29">
        <v>46235</v>
      </c>
      <c r="C79" s="20"/>
      <c r="D79" s="20"/>
      <c r="E79" s="20">
        <v>70.8</v>
      </c>
      <c r="F79" s="20">
        <v>130</v>
      </c>
      <c r="G79" s="20">
        <v>88</v>
      </c>
      <c r="H79" s="18">
        <f t="shared" si="0"/>
        <v>14.950769230769234</v>
      </c>
      <c r="I79" s="5"/>
      <c r="J79" s="5"/>
      <c r="K79" s="5"/>
      <c r="L79" s="5"/>
      <c r="M79" s="5"/>
      <c r="N79" s="5"/>
      <c r="O79" s="5"/>
      <c r="P79" s="5"/>
      <c r="Q79" s="5"/>
      <c r="R79" s="5"/>
      <c r="S79" s="5"/>
      <c r="T79" s="5"/>
      <c r="U79" s="5"/>
      <c r="V79" s="5"/>
      <c r="W79" s="5"/>
      <c r="X79" s="5"/>
      <c r="Y79" s="5"/>
      <c r="Z79" s="6"/>
    </row>
    <row r="80" spans="1:26">
      <c r="A80" s="19" t="s">
        <v>40</v>
      </c>
      <c r="B80" s="29">
        <v>46235</v>
      </c>
      <c r="C80" s="20"/>
      <c r="D80" s="20"/>
      <c r="E80" s="20">
        <v>72.7</v>
      </c>
      <c r="F80" s="20">
        <v>134</v>
      </c>
      <c r="G80" s="20">
        <v>95</v>
      </c>
      <c r="H80" s="18">
        <f t="shared" si="0"/>
        <v>18.805223880597012</v>
      </c>
      <c r="I80" s="5"/>
      <c r="J80" s="5"/>
      <c r="K80" s="5"/>
      <c r="L80" s="5"/>
      <c r="M80" s="5"/>
      <c r="N80" s="5"/>
      <c r="O80" s="5"/>
      <c r="P80" s="5"/>
      <c r="Q80" s="5"/>
      <c r="R80" s="5"/>
      <c r="S80" s="5"/>
      <c r="T80" s="5"/>
      <c r="U80" s="5"/>
      <c r="V80" s="5"/>
      <c r="W80" s="5"/>
      <c r="X80" s="5"/>
      <c r="Y80" s="5"/>
      <c r="Z80" s="6"/>
    </row>
    <row r="81" spans="1:26">
      <c r="A81" s="19" t="s">
        <v>40</v>
      </c>
      <c r="B81" s="29">
        <v>46235</v>
      </c>
      <c r="C81" s="20"/>
      <c r="D81" s="20"/>
      <c r="E81" s="20">
        <v>72.7</v>
      </c>
      <c r="F81" s="20">
        <v>134</v>
      </c>
      <c r="G81" s="20">
        <v>90</v>
      </c>
      <c r="H81" s="18">
        <f t="shared" si="0"/>
        <v>14.588805970149251</v>
      </c>
      <c r="I81" s="5"/>
      <c r="J81" s="5"/>
      <c r="K81" s="5"/>
      <c r="L81" s="5"/>
      <c r="M81" s="5"/>
      <c r="N81" s="5"/>
      <c r="O81" s="5"/>
      <c r="P81" s="5"/>
      <c r="Q81" s="5"/>
      <c r="R81" s="5"/>
      <c r="S81" s="5"/>
      <c r="T81" s="5"/>
      <c r="U81" s="5"/>
      <c r="V81" s="5"/>
      <c r="W81" s="5"/>
      <c r="X81" s="5"/>
      <c r="Y81" s="5"/>
      <c r="Z81" s="6"/>
    </row>
    <row r="82" spans="1:26">
      <c r="A82" s="19" t="s">
        <v>39</v>
      </c>
      <c r="B82" s="29">
        <v>46235</v>
      </c>
      <c r="C82" s="20"/>
      <c r="D82" s="20"/>
      <c r="E82" s="20">
        <v>71.599999999999994</v>
      </c>
      <c r="F82" s="20">
        <v>132</v>
      </c>
      <c r="G82" s="20">
        <v>83</v>
      </c>
      <c r="H82" s="18">
        <f t="shared" si="0"/>
        <v>9.759090909090915</v>
      </c>
      <c r="I82" s="5"/>
      <c r="J82" s="5"/>
      <c r="K82" s="5"/>
      <c r="L82" s="5"/>
      <c r="M82" s="5"/>
      <c r="N82" s="5"/>
      <c r="O82" s="5"/>
      <c r="P82" s="5"/>
      <c r="Q82" s="5"/>
      <c r="R82" s="5"/>
      <c r="S82" s="5"/>
      <c r="T82" s="5"/>
      <c r="U82" s="5"/>
      <c r="V82" s="5"/>
      <c r="W82" s="5"/>
      <c r="X82" s="5"/>
      <c r="Y82" s="5"/>
      <c r="Z82" s="6"/>
    </row>
    <row r="83" spans="1:26">
      <c r="A83" s="19" t="s">
        <v>39</v>
      </c>
      <c r="B83" s="29">
        <v>46235</v>
      </c>
      <c r="C83" s="20"/>
      <c r="D83" s="20"/>
      <c r="E83" s="20">
        <v>71.599999999999994</v>
      </c>
      <c r="F83" s="20">
        <v>132</v>
      </c>
      <c r="G83" s="20">
        <v>80</v>
      </c>
      <c r="H83" s="18">
        <f t="shared" si="0"/>
        <v>7.1909090909090958</v>
      </c>
      <c r="I83" s="5"/>
      <c r="J83" s="5"/>
      <c r="K83" s="5"/>
      <c r="L83" s="5"/>
      <c r="M83" s="5"/>
      <c r="N83" s="5"/>
      <c r="O83" s="5"/>
      <c r="P83" s="5"/>
      <c r="Q83" s="5"/>
      <c r="R83" s="5"/>
      <c r="S83" s="5"/>
      <c r="T83" s="5"/>
      <c r="U83" s="5"/>
      <c r="V83" s="5"/>
      <c r="W83" s="5"/>
      <c r="X83" s="5"/>
      <c r="Y83" s="5"/>
      <c r="Z83" s="6"/>
    </row>
    <row r="84" spans="1:26">
      <c r="A84" s="19" t="s">
        <v>28</v>
      </c>
      <c r="B84" s="29">
        <v>46235</v>
      </c>
      <c r="C84" s="20"/>
      <c r="D84" s="20"/>
      <c r="E84" s="20">
        <v>69</v>
      </c>
      <c r="F84" s="20">
        <v>124</v>
      </c>
      <c r="G84" s="20">
        <v>87</v>
      </c>
      <c r="H84" s="18">
        <f t="shared" si="0"/>
        <v>16.403225806451612</v>
      </c>
      <c r="I84" s="5"/>
      <c r="J84" s="5"/>
      <c r="K84" s="5"/>
      <c r="L84" s="5"/>
      <c r="M84" s="5"/>
      <c r="N84" s="5"/>
      <c r="O84" s="5"/>
      <c r="P84" s="5"/>
      <c r="Q84" s="5"/>
      <c r="R84" s="5"/>
      <c r="S84" s="5"/>
      <c r="T84" s="5"/>
      <c r="U84" s="5"/>
      <c r="V84" s="5"/>
      <c r="W84" s="5"/>
      <c r="X84" s="5"/>
      <c r="Y84" s="5"/>
      <c r="Z84" s="6"/>
    </row>
    <row r="85" spans="1:26">
      <c r="A85" s="19" t="s">
        <v>28</v>
      </c>
      <c r="B85" s="29">
        <v>46235</v>
      </c>
      <c r="C85" s="20"/>
      <c r="D85" s="20"/>
      <c r="E85" s="20">
        <v>70.900000000000006</v>
      </c>
      <c r="F85" s="20">
        <v>128</v>
      </c>
      <c r="G85" s="20">
        <v>86</v>
      </c>
      <c r="H85" s="18">
        <f t="shared" si="0"/>
        <v>13.330468749999994</v>
      </c>
      <c r="I85" s="5"/>
      <c r="J85" s="5"/>
      <c r="K85" s="5"/>
      <c r="L85" s="5"/>
      <c r="M85" s="5"/>
      <c r="N85" s="5"/>
      <c r="O85" s="5"/>
      <c r="P85" s="5"/>
      <c r="Q85" s="5"/>
      <c r="R85" s="5"/>
      <c r="S85" s="5"/>
      <c r="T85" s="5"/>
      <c r="U85" s="5"/>
      <c r="V85" s="5"/>
      <c r="W85" s="5"/>
      <c r="X85" s="5"/>
      <c r="Y85" s="5"/>
      <c r="Z85" s="6"/>
    </row>
    <row r="86" spans="1:26">
      <c r="A86" s="19" t="s">
        <v>33</v>
      </c>
      <c r="B86" s="29">
        <v>46235</v>
      </c>
      <c r="C86" s="20"/>
      <c r="D86" s="20"/>
      <c r="E86" s="20">
        <v>70.599999999999994</v>
      </c>
      <c r="F86" s="20">
        <v>124</v>
      </c>
      <c r="G86" s="20">
        <v>89</v>
      </c>
      <c r="H86" s="18">
        <f t="shared" si="0"/>
        <v>16.767741935483876</v>
      </c>
      <c r="I86" s="5"/>
      <c r="J86" s="5"/>
      <c r="K86" s="5"/>
      <c r="L86" s="5"/>
      <c r="M86" s="5"/>
      <c r="N86" s="5"/>
      <c r="O86" s="5"/>
      <c r="P86" s="5"/>
      <c r="Q86" s="5"/>
      <c r="R86" s="5"/>
      <c r="S86" s="5"/>
      <c r="T86" s="5"/>
      <c r="U86" s="5"/>
      <c r="V86" s="5"/>
      <c r="W86" s="5"/>
      <c r="X86" s="5"/>
      <c r="Y86" s="5"/>
      <c r="Z86" s="6"/>
    </row>
    <row r="87" spans="1:26">
      <c r="A87" s="19" t="s">
        <v>35</v>
      </c>
      <c r="B87" s="29">
        <v>46235</v>
      </c>
      <c r="C87" s="20"/>
      <c r="D87" s="20"/>
      <c r="E87" s="20">
        <v>73.5</v>
      </c>
      <c r="F87" s="20">
        <v>143</v>
      </c>
      <c r="G87" s="20">
        <v>71</v>
      </c>
      <c r="H87" s="18">
        <f t="shared" si="0"/>
        <v>-1.9755244755244756</v>
      </c>
      <c r="I87" s="5"/>
      <c r="J87" s="5"/>
      <c r="K87" s="5"/>
      <c r="L87" s="5"/>
      <c r="M87" s="5"/>
      <c r="N87" s="5"/>
      <c r="O87" s="5"/>
      <c r="P87" s="5"/>
      <c r="Q87" s="5"/>
      <c r="R87" s="5"/>
      <c r="S87" s="5"/>
      <c r="T87" s="5"/>
      <c r="U87" s="5"/>
      <c r="V87" s="5"/>
      <c r="W87" s="5"/>
      <c r="X87" s="5"/>
      <c r="Y87" s="5"/>
      <c r="Z87" s="6"/>
    </row>
    <row r="88" spans="1:26">
      <c r="A88" s="19" t="s">
        <v>35</v>
      </c>
      <c r="B88" s="29">
        <v>46235</v>
      </c>
      <c r="C88" s="20"/>
      <c r="D88" s="20"/>
      <c r="E88" s="20">
        <v>74.900000000000006</v>
      </c>
      <c r="F88" s="20">
        <v>136</v>
      </c>
      <c r="G88" s="20">
        <v>81</v>
      </c>
      <c r="H88" s="18">
        <f t="shared" si="0"/>
        <v>5.068382352941172</v>
      </c>
      <c r="I88" s="5"/>
      <c r="J88" s="5"/>
      <c r="K88" s="5"/>
      <c r="L88" s="5"/>
      <c r="M88" s="5"/>
      <c r="N88" s="5"/>
      <c r="O88" s="5"/>
      <c r="P88" s="5"/>
      <c r="Q88" s="5"/>
      <c r="R88" s="5"/>
      <c r="S88" s="5"/>
      <c r="T88" s="5"/>
      <c r="U88" s="5"/>
      <c r="V88" s="5"/>
      <c r="W88" s="5"/>
      <c r="X88" s="5"/>
      <c r="Y88" s="5"/>
      <c r="Z88" s="6"/>
    </row>
    <row r="89" spans="1:26">
      <c r="A89" s="19" t="s">
        <v>35</v>
      </c>
      <c r="B89" s="29">
        <v>46235</v>
      </c>
      <c r="C89" s="20"/>
      <c r="D89" s="20"/>
      <c r="E89" s="20">
        <v>73.2</v>
      </c>
      <c r="F89" s="20">
        <v>143</v>
      </c>
      <c r="G89" s="20">
        <v>82</v>
      </c>
      <c r="H89" s="18">
        <f t="shared" si="0"/>
        <v>6.9538461538461513</v>
      </c>
      <c r="I89" s="5"/>
      <c r="J89" s="5"/>
      <c r="K89" s="5"/>
      <c r="L89" s="5"/>
      <c r="M89" s="5"/>
      <c r="N89" s="5"/>
      <c r="O89" s="5"/>
      <c r="P89" s="5"/>
      <c r="Q89" s="5"/>
      <c r="R89" s="5"/>
      <c r="S89" s="5"/>
      <c r="T89" s="5"/>
      <c r="U89" s="5"/>
      <c r="V89" s="5"/>
      <c r="W89" s="5"/>
      <c r="X89" s="5"/>
      <c r="Y89" s="5"/>
      <c r="Z89" s="6"/>
    </row>
    <row r="90" spans="1:26">
      <c r="A90" s="19" t="s">
        <v>38</v>
      </c>
      <c r="B90" s="29">
        <v>46235</v>
      </c>
      <c r="C90" s="20"/>
      <c r="D90" s="20"/>
      <c r="E90" s="20">
        <v>71.599999999999994</v>
      </c>
      <c r="F90" s="20">
        <v>130</v>
      </c>
      <c r="G90" s="20">
        <v>80</v>
      </c>
      <c r="H90" s="18">
        <f t="shared" si="0"/>
        <v>7.301538461538466</v>
      </c>
      <c r="I90" s="5"/>
      <c r="J90" s="5"/>
      <c r="K90" s="5"/>
      <c r="L90" s="5"/>
      <c r="M90" s="5"/>
      <c r="N90" s="5"/>
      <c r="O90" s="5"/>
      <c r="P90" s="5"/>
      <c r="Q90" s="5"/>
      <c r="R90" s="5"/>
      <c r="S90" s="5"/>
      <c r="T90" s="5"/>
      <c r="U90" s="5"/>
      <c r="V90" s="5"/>
      <c r="W90" s="5"/>
      <c r="X90" s="5"/>
      <c r="Y90" s="5"/>
      <c r="Z90" s="6"/>
    </row>
    <row r="91" spans="1:26">
      <c r="A91" s="19" t="s">
        <v>38</v>
      </c>
      <c r="B91" s="29">
        <v>46235</v>
      </c>
      <c r="C91" s="20"/>
      <c r="D91" s="20"/>
      <c r="E91" s="20">
        <v>71</v>
      </c>
      <c r="F91" s="20">
        <v>135</v>
      </c>
      <c r="G91" s="20">
        <v>84</v>
      </c>
      <c r="H91" s="18">
        <f t="shared" si="0"/>
        <v>10.881481481481481</v>
      </c>
      <c r="I91" s="5"/>
      <c r="J91" s="5"/>
      <c r="K91" s="5"/>
      <c r="L91" s="5"/>
      <c r="M91" s="5"/>
      <c r="N91" s="5"/>
      <c r="O91" s="5"/>
      <c r="P91" s="5"/>
      <c r="Q91" s="5"/>
      <c r="R91" s="5"/>
      <c r="S91" s="5"/>
      <c r="T91" s="5"/>
      <c r="U91" s="5"/>
      <c r="V91" s="5"/>
      <c r="W91" s="5"/>
      <c r="X91" s="5"/>
      <c r="Y91" s="5"/>
      <c r="Z91" s="6"/>
    </row>
    <row r="92" spans="1:26">
      <c r="A92" s="19" t="s">
        <v>38</v>
      </c>
      <c r="B92" s="29">
        <v>46235</v>
      </c>
      <c r="C92" s="20"/>
      <c r="D92" s="20"/>
      <c r="E92" s="20">
        <v>69.900000000000006</v>
      </c>
      <c r="F92" s="20">
        <v>128</v>
      </c>
      <c r="G92" s="20">
        <v>77</v>
      </c>
      <c r="H92" s="18">
        <f t="shared" si="0"/>
        <v>6.2679687499999952</v>
      </c>
      <c r="I92" s="5"/>
      <c r="J92" s="5"/>
      <c r="K92" s="5"/>
      <c r="L92" s="5"/>
      <c r="M92" s="5"/>
      <c r="N92" s="5"/>
      <c r="O92" s="5"/>
      <c r="P92" s="5"/>
      <c r="Q92" s="5"/>
      <c r="R92" s="5"/>
      <c r="S92" s="5"/>
      <c r="T92" s="5"/>
      <c r="U92" s="5"/>
      <c r="V92" s="5"/>
      <c r="W92" s="5"/>
      <c r="X92" s="5"/>
      <c r="Y92" s="5"/>
      <c r="Z92" s="6"/>
    </row>
    <row r="93" spans="1:26">
      <c r="A93" s="19" t="s">
        <v>32</v>
      </c>
      <c r="B93" s="29">
        <v>46235</v>
      </c>
      <c r="C93" s="20"/>
      <c r="D93" s="20"/>
      <c r="E93" s="20">
        <v>72.7</v>
      </c>
      <c r="F93" s="20">
        <v>134</v>
      </c>
      <c r="G93" s="20">
        <v>83</v>
      </c>
      <c r="H93" s="18">
        <f t="shared" si="0"/>
        <v>8.6858208955223848</v>
      </c>
      <c r="I93" s="5"/>
      <c r="J93" s="5"/>
      <c r="K93" s="5"/>
      <c r="L93" s="5"/>
      <c r="M93" s="5"/>
      <c r="N93" s="5"/>
      <c r="O93" s="5"/>
      <c r="P93" s="5"/>
      <c r="Q93" s="5"/>
      <c r="R93" s="5"/>
      <c r="S93" s="5"/>
      <c r="T93" s="5"/>
      <c r="U93" s="5"/>
      <c r="V93" s="5"/>
      <c r="W93" s="5"/>
      <c r="X93" s="5"/>
      <c r="Y93" s="5"/>
      <c r="Z93" s="6"/>
    </row>
    <row r="94" spans="1:26">
      <c r="A94" s="19" t="s">
        <v>33</v>
      </c>
      <c r="B94" s="29">
        <v>46235</v>
      </c>
      <c r="C94" s="20"/>
      <c r="D94" s="20"/>
      <c r="E94" s="20">
        <v>71.7</v>
      </c>
      <c r="F94" s="20">
        <v>137</v>
      </c>
      <c r="G94" s="20">
        <v>86</v>
      </c>
      <c r="H94" s="18">
        <f t="shared" ref="H94:H107" si="1">IF(OR(A94="",E94="",F94="",G94=""),"",(G94-E94)*113/F94)</f>
        <v>11.794890510948903</v>
      </c>
      <c r="I94" s="5"/>
      <c r="J94" s="5"/>
      <c r="K94" s="5"/>
      <c r="L94" s="5"/>
      <c r="M94" s="5"/>
      <c r="N94" s="5"/>
      <c r="O94" s="5"/>
      <c r="P94" s="5"/>
      <c r="Q94" s="5"/>
      <c r="R94" s="5"/>
      <c r="S94" s="5"/>
      <c r="T94" s="5"/>
      <c r="U94" s="5"/>
      <c r="V94" s="5"/>
      <c r="W94" s="5"/>
      <c r="X94" s="5"/>
      <c r="Y94" s="5"/>
      <c r="Z94" s="6"/>
    </row>
    <row r="95" spans="1:26">
      <c r="A95" s="19" t="s">
        <v>30</v>
      </c>
      <c r="B95" s="29">
        <v>46235</v>
      </c>
      <c r="C95" s="20"/>
      <c r="D95" s="20"/>
      <c r="E95" s="20">
        <v>71.099999999999994</v>
      </c>
      <c r="F95" s="20">
        <v>126</v>
      </c>
      <c r="G95" s="20">
        <v>89</v>
      </c>
      <c r="H95" s="18">
        <f t="shared" si="1"/>
        <v>16.053174603174607</v>
      </c>
      <c r="I95" s="5"/>
      <c r="J95" s="5"/>
      <c r="K95" s="5"/>
      <c r="L95" s="5"/>
      <c r="M95" s="5"/>
      <c r="N95" s="5"/>
      <c r="O95" s="5"/>
      <c r="P95" s="5"/>
      <c r="Q95" s="5"/>
      <c r="R95" s="5"/>
      <c r="S95" s="5"/>
      <c r="T95" s="5"/>
      <c r="U95" s="5"/>
      <c r="V95" s="5"/>
      <c r="W95" s="5"/>
      <c r="X95" s="5"/>
      <c r="Y95" s="5"/>
      <c r="Z95" s="6"/>
    </row>
    <row r="96" spans="1:26">
      <c r="A96" s="19" t="s">
        <v>35</v>
      </c>
      <c r="B96" s="29">
        <v>46235</v>
      </c>
      <c r="C96" s="20"/>
      <c r="D96" s="20"/>
      <c r="E96" s="20">
        <v>73</v>
      </c>
      <c r="F96" s="20">
        <v>132</v>
      </c>
      <c r="G96" s="20">
        <v>75</v>
      </c>
      <c r="H96" s="18">
        <f t="shared" si="1"/>
        <v>1.7121212121212122</v>
      </c>
      <c r="I96" s="5"/>
      <c r="J96" s="5"/>
      <c r="K96" s="5"/>
      <c r="L96" s="5"/>
      <c r="M96" s="5"/>
      <c r="N96" s="5"/>
      <c r="O96" s="5"/>
      <c r="P96" s="5"/>
      <c r="Q96" s="5"/>
      <c r="R96" s="5"/>
      <c r="S96" s="5"/>
      <c r="T96" s="5"/>
      <c r="U96" s="5"/>
      <c r="V96" s="5"/>
      <c r="W96" s="5"/>
      <c r="X96" s="5"/>
      <c r="Y96" s="5"/>
      <c r="Z96" s="6"/>
    </row>
    <row r="97" spans="1:26">
      <c r="A97" s="19" t="s">
        <v>40</v>
      </c>
      <c r="B97" s="29">
        <v>46266</v>
      </c>
      <c r="C97" s="20"/>
      <c r="D97" s="20"/>
      <c r="E97" s="20">
        <v>72.7</v>
      </c>
      <c r="F97" s="20">
        <v>134</v>
      </c>
      <c r="G97" s="20">
        <v>95</v>
      </c>
      <c r="H97" s="18">
        <f t="shared" si="1"/>
        <v>18.805223880597012</v>
      </c>
      <c r="I97" s="5"/>
      <c r="J97" s="5"/>
      <c r="K97" s="5"/>
      <c r="L97" s="5"/>
      <c r="M97" s="5"/>
      <c r="N97" s="5"/>
      <c r="O97" s="5"/>
      <c r="P97" s="5"/>
      <c r="Q97" s="5"/>
      <c r="R97" s="5"/>
      <c r="S97" s="5"/>
      <c r="T97" s="5"/>
      <c r="U97" s="5"/>
      <c r="V97" s="5"/>
      <c r="W97" s="5"/>
      <c r="X97" s="5"/>
      <c r="Y97" s="5"/>
      <c r="Z97" s="6"/>
    </row>
    <row r="98" spans="1:26">
      <c r="A98" s="19" t="s">
        <v>33</v>
      </c>
      <c r="B98" s="29">
        <v>46266</v>
      </c>
      <c r="C98" s="20"/>
      <c r="D98" s="20"/>
      <c r="E98" s="20">
        <v>70.3</v>
      </c>
      <c r="F98" s="20">
        <v>130</v>
      </c>
      <c r="G98" s="20">
        <v>78</v>
      </c>
      <c r="H98" s="18">
        <f t="shared" si="1"/>
        <v>6.6930769230769256</v>
      </c>
      <c r="I98" s="5"/>
      <c r="J98" s="5"/>
      <c r="K98" s="5"/>
      <c r="L98" s="5"/>
      <c r="M98" s="5"/>
      <c r="N98" s="5"/>
      <c r="O98" s="5"/>
      <c r="P98" s="5"/>
      <c r="Q98" s="5"/>
      <c r="R98" s="5"/>
      <c r="S98" s="5"/>
      <c r="T98" s="5"/>
      <c r="U98" s="5"/>
      <c r="V98" s="5"/>
      <c r="W98" s="5"/>
      <c r="X98" s="5"/>
      <c r="Y98" s="5"/>
      <c r="Z98" s="6"/>
    </row>
    <row r="99" spans="1:26">
      <c r="A99" s="19" t="s">
        <v>41</v>
      </c>
      <c r="B99" s="29">
        <v>46266</v>
      </c>
      <c r="C99" s="20"/>
      <c r="D99" s="20"/>
      <c r="E99" s="20">
        <v>71.400000000000006</v>
      </c>
      <c r="F99" s="20">
        <v>134</v>
      </c>
      <c r="G99" s="20">
        <v>104</v>
      </c>
      <c r="H99" s="18">
        <f t="shared" si="1"/>
        <v>27.491044776119399</v>
      </c>
      <c r="I99" s="5"/>
      <c r="J99" s="5"/>
      <c r="K99" s="5"/>
      <c r="L99" s="5"/>
      <c r="M99" s="5"/>
      <c r="N99" s="5"/>
      <c r="O99" s="5"/>
      <c r="P99" s="5"/>
      <c r="Q99" s="5"/>
      <c r="R99" s="5"/>
      <c r="S99" s="5"/>
      <c r="T99" s="5"/>
      <c r="U99" s="5"/>
      <c r="V99" s="5"/>
      <c r="W99" s="5"/>
      <c r="X99" s="5"/>
      <c r="Y99" s="5"/>
      <c r="Z99" s="6"/>
    </row>
    <row r="100" spans="1:26">
      <c r="A100" s="19" t="s">
        <v>36</v>
      </c>
      <c r="B100" s="29">
        <v>46266</v>
      </c>
      <c r="C100" s="20"/>
      <c r="D100" s="20"/>
      <c r="E100" s="20">
        <v>71.400000000000006</v>
      </c>
      <c r="F100" s="20">
        <v>134</v>
      </c>
      <c r="G100" s="20">
        <v>101</v>
      </c>
      <c r="H100" s="18">
        <f t="shared" si="1"/>
        <v>24.961194029850741</v>
      </c>
      <c r="I100" s="5"/>
      <c r="J100" s="5"/>
      <c r="K100" s="5"/>
      <c r="L100" s="5"/>
      <c r="M100" s="5"/>
      <c r="N100" s="5"/>
      <c r="O100" s="5"/>
      <c r="P100" s="5"/>
      <c r="Q100" s="5"/>
      <c r="R100" s="5"/>
      <c r="S100" s="5"/>
      <c r="T100" s="5"/>
      <c r="U100" s="5"/>
      <c r="V100" s="5"/>
      <c r="W100" s="5"/>
      <c r="X100" s="5"/>
      <c r="Y100" s="5"/>
      <c r="Z100" s="6"/>
    </row>
    <row r="101" spans="1:26">
      <c r="A101" s="19" t="s">
        <v>34</v>
      </c>
      <c r="B101" s="29">
        <v>46266</v>
      </c>
      <c r="C101" s="20"/>
      <c r="D101" s="20"/>
      <c r="E101" s="20">
        <v>71.400000000000006</v>
      </c>
      <c r="F101" s="20">
        <v>134</v>
      </c>
      <c r="G101" s="20">
        <v>95</v>
      </c>
      <c r="H101" s="18">
        <f t="shared" si="1"/>
        <v>19.901492537313427</v>
      </c>
      <c r="I101" s="5"/>
      <c r="J101" s="5"/>
      <c r="K101" s="5"/>
      <c r="L101" s="5"/>
      <c r="M101" s="5"/>
      <c r="N101" s="5"/>
      <c r="O101" s="5"/>
      <c r="P101" s="5"/>
      <c r="Q101" s="5"/>
      <c r="R101" s="5"/>
      <c r="S101" s="5"/>
      <c r="T101" s="5"/>
      <c r="U101" s="5"/>
      <c r="V101" s="5"/>
      <c r="W101" s="5"/>
      <c r="X101" s="5"/>
      <c r="Y101" s="5"/>
      <c r="Z101" s="6"/>
    </row>
    <row r="102" spans="1:26">
      <c r="A102" s="19" t="s">
        <v>35</v>
      </c>
      <c r="B102" s="29">
        <v>46266</v>
      </c>
      <c r="C102" s="20"/>
      <c r="D102" s="20"/>
      <c r="E102" s="20">
        <v>71.400000000000006</v>
      </c>
      <c r="F102" s="20">
        <v>134</v>
      </c>
      <c r="G102" s="20">
        <v>79</v>
      </c>
      <c r="H102" s="18">
        <f t="shared" si="1"/>
        <v>6.408955223880592</v>
      </c>
      <c r="I102" s="5"/>
      <c r="J102" s="5"/>
      <c r="K102" s="5"/>
      <c r="L102" s="5"/>
      <c r="M102" s="5"/>
      <c r="N102" s="5"/>
      <c r="O102" s="5"/>
      <c r="P102" s="5"/>
      <c r="Q102" s="5"/>
      <c r="R102" s="5"/>
      <c r="S102" s="5"/>
      <c r="T102" s="5"/>
      <c r="U102" s="5"/>
      <c r="V102" s="5"/>
      <c r="W102" s="5"/>
      <c r="X102" s="5"/>
      <c r="Y102" s="5"/>
      <c r="Z102" s="6"/>
    </row>
    <row r="103" spans="1:26">
      <c r="A103" s="19" t="s">
        <v>32</v>
      </c>
      <c r="B103" s="29">
        <v>46266</v>
      </c>
      <c r="C103" s="20"/>
      <c r="D103" s="20"/>
      <c r="E103" s="20">
        <v>72.7</v>
      </c>
      <c r="F103" s="20">
        <v>134</v>
      </c>
      <c r="G103" s="20">
        <v>85</v>
      </c>
      <c r="H103" s="18">
        <f t="shared" si="1"/>
        <v>10.372388059701489</v>
      </c>
      <c r="I103" s="5"/>
      <c r="J103" s="5"/>
      <c r="K103" s="5"/>
      <c r="L103" s="5"/>
      <c r="M103" s="5"/>
      <c r="N103" s="5"/>
      <c r="O103" s="5"/>
      <c r="P103" s="5"/>
      <c r="Q103" s="5"/>
      <c r="R103" s="5"/>
      <c r="S103" s="5"/>
      <c r="T103" s="5"/>
      <c r="U103" s="5"/>
      <c r="V103" s="5"/>
      <c r="W103" s="5"/>
      <c r="X103" s="5"/>
      <c r="Y103" s="5"/>
      <c r="Z103" s="6"/>
    </row>
    <row r="104" spans="1:26">
      <c r="A104" s="19" t="s">
        <v>30</v>
      </c>
      <c r="B104" s="29">
        <v>46266</v>
      </c>
      <c r="C104" s="20"/>
      <c r="D104" s="20"/>
      <c r="E104" s="20">
        <v>70.3</v>
      </c>
      <c r="F104" s="20">
        <v>130</v>
      </c>
      <c r="G104" s="20">
        <v>89</v>
      </c>
      <c r="H104" s="18">
        <f t="shared" si="1"/>
        <v>16.254615384615388</v>
      </c>
      <c r="I104" s="5"/>
      <c r="J104" s="5"/>
      <c r="K104" s="5"/>
      <c r="L104" s="5"/>
      <c r="M104" s="5"/>
      <c r="N104" s="5"/>
      <c r="O104" s="5"/>
      <c r="P104" s="5"/>
      <c r="Q104" s="5"/>
      <c r="R104" s="5"/>
      <c r="S104" s="5"/>
      <c r="T104" s="5"/>
      <c r="U104" s="5"/>
      <c r="V104" s="5"/>
      <c r="W104" s="5"/>
      <c r="X104" s="5"/>
      <c r="Y104" s="5"/>
      <c r="Z104" s="6"/>
    </row>
    <row r="105" spans="1:26">
      <c r="A105" s="19"/>
      <c r="B105" s="29"/>
      <c r="C105" s="20"/>
      <c r="D105" s="20"/>
      <c r="E105" s="20"/>
      <c r="F105" s="20"/>
      <c r="G105" s="20"/>
      <c r="H105" s="18" t="str">
        <f t="shared" si="1"/>
        <v/>
      </c>
      <c r="I105" s="5"/>
      <c r="J105" s="5"/>
      <c r="K105" s="5"/>
      <c r="L105" s="5"/>
      <c r="M105" s="5"/>
      <c r="N105" s="5"/>
      <c r="O105" s="5"/>
      <c r="P105" s="5"/>
      <c r="Q105" s="5"/>
      <c r="R105" s="5"/>
      <c r="S105" s="5"/>
      <c r="T105" s="5"/>
      <c r="U105" s="5"/>
      <c r="V105" s="5"/>
      <c r="W105" s="5"/>
      <c r="X105" s="5"/>
      <c r="Y105" s="5"/>
      <c r="Z105" s="6"/>
    </row>
    <row r="106" spans="1:26">
      <c r="A106" s="19"/>
      <c r="B106" s="29"/>
      <c r="C106" s="20"/>
      <c r="D106" s="20"/>
      <c r="E106" s="20"/>
      <c r="F106" s="20"/>
      <c r="G106" s="20"/>
      <c r="H106" s="18" t="str">
        <f t="shared" si="1"/>
        <v/>
      </c>
      <c r="I106" s="5"/>
      <c r="J106" s="5"/>
      <c r="K106" s="5"/>
      <c r="L106" s="5"/>
      <c r="M106" s="5"/>
      <c r="N106" s="5"/>
      <c r="O106" s="5"/>
      <c r="P106" s="5"/>
      <c r="Q106" s="5"/>
      <c r="R106" s="5"/>
      <c r="S106" s="5"/>
      <c r="T106" s="5"/>
      <c r="U106" s="5"/>
      <c r="V106" s="5"/>
      <c r="W106" s="5"/>
      <c r="X106" s="5"/>
      <c r="Y106" s="5"/>
      <c r="Z106" s="6"/>
    </row>
    <row r="107" spans="1:26">
      <c r="A107" s="19"/>
      <c r="B107" s="29"/>
      <c r="C107" s="20"/>
      <c r="D107" s="20"/>
      <c r="E107" s="20"/>
      <c r="F107" s="20"/>
      <c r="G107" s="20"/>
      <c r="H107" s="18" t="str">
        <f t="shared" si="1"/>
        <v/>
      </c>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abSelected="1" topLeftCell="A3" workbookViewId="0">
      <selection activeCell="B20" sqref="B20"/>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0.2</v>
      </c>
      <c r="C4" s="26">
        <f>COUNTIF('Round Log'!$A$6:$A$200,A4)</f>
        <v>12</v>
      </c>
      <c r="D4" s="21">
        <f>IF(C4=0,"",AVERAGEIF('Round Log'!$A$6:$A$200,A4,'Round Log'!$H$6:$H$200))</f>
        <v>3.01389771647001</v>
      </c>
      <c r="E4" s="21">
        <f>IF(C4=0,"",_xlfn.MINIFS('Round Log'!$H$6:$H$200,'Round Log'!$A$6:$A$200,A4))</f>
        <v>-1.9755244755244756</v>
      </c>
      <c r="F4" s="21">
        <f>IF(OR(D4="",B4=""),"",D4-B4)</f>
        <v>2.8138977164700099</v>
      </c>
      <c r="G4" s="21">
        <f>IF(B4="","",IF(D4="",B4,$G$1*B4+$I$1*D4))</f>
        <v>1.044169314941003</v>
      </c>
      <c r="H4" s="21">
        <f>IF(G4="","",RANK(G4,$G$4:$G$19,1))</f>
        <v>1</v>
      </c>
      <c r="I4" s="5"/>
      <c r="J4" s="5"/>
      <c r="K4" s="5"/>
      <c r="L4" s="5"/>
      <c r="M4" s="5"/>
      <c r="N4" s="5"/>
      <c r="O4" s="5"/>
      <c r="P4" s="5"/>
      <c r="Q4" s="5"/>
      <c r="R4" s="5"/>
      <c r="S4" s="5"/>
      <c r="T4" s="5"/>
      <c r="U4" s="5"/>
      <c r="V4" s="5"/>
      <c r="W4" s="5"/>
      <c r="X4" s="5"/>
      <c r="Y4" s="5"/>
      <c r="Z4" s="6"/>
    </row>
    <row r="5" spans="1:26">
      <c r="A5" s="19" t="s">
        <v>30</v>
      </c>
      <c r="B5" s="20">
        <v>15.4</v>
      </c>
      <c r="C5" s="26">
        <f>COUNTIF('Round Log'!$A$6:$A$200,A5)</f>
        <v>8</v>
      </c>
      <c r="D5" s="21">
        <f>IF(C5=0,"",AVERAGEIF('Round Log'!$A$6:$A$200,A5,'Round Log'!$H$6:$H$200))</f>
        <v>18.990392755392758</v>
      </c>
      <c r="E5" s="21">
        <f>IF(C5=0,"",_xlfn.MINIFS('Round Log'!$H$6:$H$200,'Round Log'!$A$6:$A$200,A5))</f>
        <v>14.516153846153848</v>
      </c>
      <c r="F5" s="21">
        <f t="shared" ref="F5:F19" si="0">IF(OR(D5="",B5=""),"",D5-B5)</f>
        <v>3.5903927553927577</v>
      </c>
      <c r="G5" s="21">
        <f t="shared" ref="G5:G19" si="1">IF(B5="","",IF(D5="",B5,$G$1*B5+$I$1*D5))</f>
        <v>16.477117826617828</v>
      </c>
      <c r="H5" s="21">
        <f t="shared" ref="H5:H19" si="2">IF(G5="","",RANK(G5,$G$4:$G$19,1))</f>
        <v>11</v>
      </c>
      <c r="I5" s="5"/>
      <c r="J5" s="5"/>
      <c r="K5" s="5"/>
      <c r="L5" s="5"/>
      <c r="M5" s="5"/>
      <c r="N5" s="5"/>
      <c r="O5" s="5"/>
      <c r="P5" s="5"/>
      <c r="Q5" s="5"/>
      <c r="R5" s="5"/>
      <c r="S5" s="5"/>
      <c r="T5" s="5"/>
      <c r="U5" s="5"/>
      <c r="V5" s="5"/>
      <c r="W5" s="5"/>
      <c r="X5" s="5"/>
      <c r="Y5" s="5"/>
      <c r="Z5" s="6"/>
    </row>
    <row r="6" spans="1:26">
      <c r="A6" s="19" t="s">
        <v>34</v>
      </c>
      <c r="B6" s="20">
        <v>12.9</v>
      </c>
      <c r="C6" s="26">
        <f>COUNTIF('Round Log'!$A$6:$A$200,A6)</f>
        <v>8</v>
      </c>
      <c r="D6" s="21">
        <f>IF(C6=0,"",AVERAGEIF('Round Log'!$A$6:$A$200,A6,'Round Log'!$H$6:$H$200))</f>
        <v>16.854811976626234</v>
      </c>
      <c r="E6" s="21">
        <f>IF(C6=0,"",_xlfn.MINIFS('Round Log'!$H$6:$H$200,'Round Log'!$A$6:$A$200,A6))</f>
        <v>12.143283582089557</v>
      </c>
      <c r="F6" s="21">
        <f t="shared" si="0"/>
        <v>3.9548119766262335</v>
      </c>
      <c r="G6" s="21">
        <f t="shared" si="1"/>
        <v>14.08644359298787</v>
      </c>
      <c r="H6" s="21">
        <f t="shared" si="2"/>
        <v>7</v>
      </c>
      <c r="I6" s="5"/>
      <c r="J6" s="5"/>
      <c r="K6" s="5"/>
      <c r="L6" s="5"/>
      <c r="M6" s="5"/>
      <c r="N6" s="5"/>
      <c r="O6" s="5"/>
      <c r="P6" s="5"/>
      <c r="Q6" s="5"/>
      <c r="R6" s="5"/>
      <c r="S6" s="5"/>
      <c r="T6" s="5"/>
      <c r="U6" s="5"/>
      <c r="V6" s="5"/>
      <c r="W6" s="5"/>
      <c r="X6" s="5"/>
      <c r="Y6" s="5"/>
      <c r="Z6" s="6"/>
    </row>
    <row r="7" spans="1:26">
      <c r="A7" s="19" t="s">
        <v>36</v>
      </c>
      <c r="B7" s="20">
        <v>15.5</v>
      </c>
      <c r="C7" s="26">
        <f>COUNTIF('Round Log'!$A$6:$A$200,A7)</f>
        <v>5</v>
      </c>
      <c r="D7" s="21">
        <f>IF(C7=0,"",AVERAGEIF('Round Log'!$A$6:$A$200,A7,'Round Log'!$H$6:$H$200))</f>
        <v>17.516840891093096</v>
      </c>
      <c r="E7" s="21">
        <f>IF(C7=0,"",_xlfn.MINIFS('Round Log'!$H$6:$H$200,'Round Log'!$A$6:$A$200,A7))</f>
        <v>11.829687500000006</v>
      </c>
      <c r="F7" s="21">
        <f t="shared" si="0"/>
        <v>2.0168408910930964</v>
      </c>
      <c r="G7" s="21">
        <f t="shared" si="1"/>
        <v>16.105052267327927</v>
      </c>
      <c r="H7" s="21">
        <f t="shared" si="2"/>
        <v>10</v>
      </c>
      <c r="I7" s="5"/>
      <c r="J7" s="5"/>
      <c r="K7" s="5"/>
      <c r="L7" s="5"/>
      <c r="M7" s="5"/>
      <c r="N7" s="5"/>
      <c r="O7" s="5"/>
      <c r="P7" s="5"/>
      <c r="Q7" s="5"/>
      <c r="R7" s="5"/>
      <c r="S7" s="5"/>
      <c r="T7" s="5"/>
      <c r="U7" s="5"/>
      <c r="V7" s="5"/>
      <c r="W7" s="5"/>
      <c r="X7" s="5"/>
      <c r="Y7" s="5"/>
      <c r="Z7" s="6"/>
    </row>
    <row r="8" spans="1:26">
      <c r="A8" s="19" t="s">
        <v>37</v>
      </c>
      <c r="B8" s="20">
        <v>20.2</v>
      </c>
      <c r="C8" s="26">
        <f>COUNTIF('Round Log'!$A$6:$A$200,A8)</f>
        <v>4</v>
      </c>
      <c r="D8" s="21">
        <f>IF(C8=0,"",AVERAGEIF('Round Log'!$A$6:$A$200,A8,'Round Log'!$H$6:$H$200))</f>
        <v>21.186973088196108</v>
      </c>
      <c r="E8" s="21">
        <f>IF(C8=0,"",_xlfn.MINIFS('Round Log'!$H$6:$H$200,'Round Log'!$A$6:$A$200,A8))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6.1</v>
      </c>
      <c r="C9" s="26">
        <f>COUNTIF('Round Log'!$A$6:$A$200,A9)</f>
        <v>9</v>
      </c>
      <c r="D9" s="21">
        <f>IF(C9=0,"",AVERAGEIF('Round Log'!$A$6:$A$200,A9,'Round Log'!$H$6:$H$200))</f>
        <v>8.8598036540816381</v>
      </c>
      <c r="E9" s="21">
        <f>IF(C9=0,"",_xlfn.MINIFS('Round Log'!$H$6:$H$200,'Round Log'!$A$6:$A$200,A9))</f>
        <v>4.9546153846153871</v>
      </c>
      <c r="F9" s="21">
        <f t="shared" si="0"/>
        <v>2.7598036540816384</v>
      </c>
      <c r="G9" s="21">
        <f t="shared" si="1"/>
        <v>6.9279410962244903</v>
      </c>
      <c r="H9" s="21">
        <f t="shared" si="2"/>
        <v>2</v>
      </c>
      <c r="I9" s="5"/>
      <c r="J9" s="5"/>
      <c r="K9" s="5"/>
      <c r="L9" s="5"/>
      <c r="M9" s="5"/>
      <c r="N9" s="5"/>
      <c r="O9" s="5"/>
      <c r="P9" s="5"/>
      <c r="Q9" s="5"/>
      <c r="R9" s="5"/>
      <c r="S9" s="5"/>
      <c r="T9" s="5"/>
      <c r="U9" s="5"/>
      <c r="V9" s="5"/>
      <c r="W9" s="5"/>
      <c r="X9" s="5"/>
      <c r="Y9" s="5"/>
      <c r="Z9" s="6"/>
    </row>
    <row r="10" spans="1:26">
      <c r="A10" s="19" t="s">
        <v>31</v>
      </c>
      <c r="B10" s="20">
        <v>28.4</v>
      </c>
      <c r="C10" s="26">
        <f>COUNTIF('Round Log'!$A$6:$A$200,A10)</f>
        <v>1</v>
      </c>
      <c r="D10" s="21">
        <f>IF(C10=0,"",AVERAGEIF('Round Log'!$A$6:$A$200,A10,'Round Log'!$H$6:$H$200))</f>
        <v>34.387769784172662</v>
      </c>
      <c r="E10" s="21">
        <f>IF(C10=0,"",_xlfn.MINIFS('Round Log'!$H$6:$H$200,'Round Log'!$A$6:$A$200,A10))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Log'!$A$6:$A$200,A11)</f>
        <v>4</v>
      </c>
      <c r="D11" s="21">
        <f>IF(C11=0,"",AVERAGEIF('Round Log'!$A$6:$A$200,A11,'Round Log'!$H$6:$H$200))</f>
        <v>23.89765616015584</v>
      </c>
      <c r="E11" s="21">
        <f>IF(C11=0,"",_xlfn.MINIFS('Round Log'!$H$6:$H$200,'Round Log'!$A$6:$A$200,A11))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6.8</v>
      </c>
      <c r="C12" s="26">
        <f>COUNTIF('Round Log'!$A$6:$A$200,A12)</f>
        <v>7</v>
      </c>
      <c r="D12" s="21">
        <f>IF(C12=0,"",AVERAGEIF('Round Log'!$A$6:$A$200,A12,'Round Log'!$H$6:$H$200))</f>
        <v>8.9784680990651111</v>
      </c>
      <c r="E12" s="21">
        <f>IF(C12=0,"",_xlfn.MINIFS('Round Log'!$H$6:$H$200,'Round Log'!$A$6:$A$200,A12))</f>
        <v>4.4694029850746242</v>
      </c>
      <c r="F12" s="21">
        <f t="shared" si="0"/>
        <v>2.1784680990651113</v>
      </c>
      <c r="G12" s="21">
        <f t="shared" si="1"/>
        <v>7.4535404297195331</v>
      </c>
      <c r="H12" s="21">
        <f t="shared" si="2"/>
        <v>3</v>
      </c>
      <c r="I12" s="5"/>
      <c r="J12" s="5"/>
      <c r="K12" s="5"/>
      <c r="L12" s="5"/>
      <c r="M12" s="5"/>
      <c r="N12" s="5"/>
      <c r="O12" s="5"/>
      <c r="P12" s="5"/>
      <c r="Q12" s="5"/>
      <c r="R12" s="5"/>
      <c r="S12" s="5"/>
      <c r="T12" s="5"/>
      <c r="U12" s="5"/>
      <c r="V12" s="5"/>
      <c r="W12" s="5"/>
      <c r="X12" s="5"/>
      <c r="Y12" s="5"/>
      <c r="Z12" s="6"/>
    </row>
    <row r="13" spans="1:26">
      <c r="A13" s="19" t="s">
        <v>39</v>
      </c>
      <c r="B13" s="20">
        <v>8.5</v>
      </c>
      <c r="C13" s="26">
        <f>COUNTIF('Round Log'!$A$6:$A$200,A13)</f>
        <v>6</v>
      </c>
      <c r="D13" s="21">
        <f>IF(C13=0,"",AVERAGEIF('Round Log'!$A$6:$A$200,A13,'Round Log'!$H$6:$H$200))</f>
        <v>9.0996094274247188</v>
      </c>
      <c r="E13" s="21">
        <f>IF(C13=0,"",_xlfn.MINIFS('Round Log'!$H$6:$H$200,'Round Log'!$A$6:$A$200,A13))</f>
        <v>6.4113475177304968</v>
      </c>
      <c r="F13" s="21">
        <f t="shared" si="0"/>
        <v>0.59960942742471879</v>
      </c>
      <c r="G13" s="21">
        <f t="shared" si="1"/>
        <v>8.6798828282274147</v>
      </c>
      <c r="H13" s="21">
        <f t="shared" si="2"/>
        <v>4</v>
      </c>
      <c r="I13" s="5"/>
      <c r="J13" s="5"/>
      <c r="K13" s="5"/>
      <c r="L13" s="5"/>
      <c r="M13" s="5"/>
      <c r="N13" s="5"/>
      <c r="O13" s="5"/>
      <c r="P13" s="5"/>
      <c r="Q13" s="5"/>
      <c r="R13" s="5"/>
      <c r="S13" s="5"/>
      <c r="T13" s="5"/>
      <c r="U13" s="5"/>
      <c r="V13" s="5"/>
      <c r="W13" s="5"/>
      <c r="X13" s="5"/>
      <c r="Y13" s="5"/>
      <c r="Z13" s="6"/>
    </row>
    <row r="14" spans="1:26">
      <c r="A14" s="19" t="s">
        <v>28</v>
      </c>
      <c r="B14" s="20">
        <v>12.2</v>
      </c>
      <c r="C14" s="26">
        <f>COUNTIF('Round Log'!$A$6:$A$200,A14)</f>
        <v>6</v>
      </c>
      <c r="D14" s="21">
        <f>IF(C14=0,"",AVERAGEIF('Round Log'!$A$6:$A$200,A14,'Round Log'!$H$6:$H$200))</f>
        <v>14.081555070507562</v>
      </c>
      <c r="E14" s="21">
        <f>IF(C14=0,"",_xlfn.MINIFS('Round Log'!$H$6:$H$200,'Round Log'!$A$6:$A$200,A14))</f>
        <v>8.9306451612903199</v>
      </c>
      <c r="F14" s="21">
        <f t="shared" si="0"/>
        <v>1.881555070507563</v>
      </c>
      <c r="G14" s="21">
        <f t="shared" si="1"/>
        <v>12.764466521152269</v>
      </c>
      <c r="H14" s="21">
        <f t="shared" si="2"/>
        <v>6</v>
      </c>
      <c r="I14" s="5"/>
      <c r="J14" s="5"/>
      <c r="K14" s="5"/>
      <c r="L14" s="5"/>
      <c r="M14" s="5"/>
      <c r="N14" s="5"/>
      <c r="O14" s="5"/>
      <c r="P14" s="5"/>
      <c r="Q14" s="5"/>
      <c r="R14" s="5"/>
      <c r="S14" s="5"/>
      <c r="T14" s="5"/>
      <c r="U14" s="5"/>
      <c r="V14" s="5"/>
      <c r="W14" s="5"/>
      <c r="X14" s="5"/>
      <c r="Y14" s="5"/>
      <c r="Z14" s="6"/>
    </row>
    <row r="15" spans="1:26">
      <c r="A15" s="19" t="s">
        <v>40</v>
      </c>
      <c r="B15" s="20">
        <v>16.2</v>
      </c>
      <c r="C15" s="26">
        <f>COUNTIF('Round Log'!$A$6:$A$200,A15)</f>
        <v>10</v>
      </c>
      <c r="D15" s="21">
        <f>IF(C15=0,"",AVERAGEIF('Round Log'!$A$6:$A$200,A15,'Round Log'!$H$6:$H$200))</f>
        <v>17.84594330505745</v>
      </c>
      <c r="E15" s="21">
        <f>IF(C15=0,"",_xlfn.MINIFS('Round Log'!$H$6:$H$200,'Round Log'!$A$6:$A$200,A15))</f>
        <v>14.588805970149251</v>
      </c>
      <c r="F15" s="21">
        <f t="shared" si="0"/>
        <v>1.6459433050574503</v>
      </c>
      <c r="G15" s="21">
        <f t="shared" si="1"/>
        <v>16.693782991517232</v>
      </c>
      <c r="H15" s="21">
        <f t="shared" si="2"/>
        <v>12</v>
      </c>
      <c r="I15" s="5"/>
      <c r="J15" s="5"/>
      <c r="K15" s="5"/>
      <c r="L15" s="5"/>
      <c r="M15" s="5"/>
      <c r="N15" s="5"/>
      <c r="O15" s="5"/>
      <c r="P15" s="5"/>
      <c r="Q15" s="5"/>
      <c r="R15" s="5"/>
      <c r="S15" s="5"/>
      <c r="T15" s="5"/>
      <c r="U15" s="5"/>
      <c r="V15" s="5"/>
      <c r="W15" s="5"/>
      <c r="X15" s="5"/>
      <c r="Y15" s="5"/>
      <c r="Z15" s="6"/>
    </row>
    <row r="16" spans="1:26">
      <c r="A16" s="19" t="s">
        <v>33</v>
      </c>
      <c r="B16" s="20">
        <v>9.6999999999999993</v>
      </c>
      <c r="C16" s="26">
        <f>COUNTIF('Round Log'!$A$6:$A$200,A16)</f>
        <v>9</v>
      </c>
      <c r="D16" s="21">
        <f>IF(C16=0,"",AVERAGEIF('Round Log'!$A$6:$A$200,A16,'Round Log'!$H$6:$H$200))</f>
        <v>12.441085184394586</v>
      </c>
      <c r="E16" s="21">
        <f>IF(C16=0,"",_xlfn.MINIFS('Round Log'!$H$6:$H$200,'Round Log'!$A$6:$A$200,A16))</f>
        <v>3.8259842519685017</v>
      </c>
      <c r="F16" s="21">
        <f t="shared" si="0"/>
        <v>2.7410851843945867</v>
      </c>
      <c r="G16" s="21">
        <f t="shared" si="1"/>
        <v>10.522325555318375</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Log'!$A$6:$A$200,A17)</f>
        <v>3</v>
      </c>
      <c r="D17" s="21">
        <f>IF(C17=0,"",AVERAGEIF('Round Log'!$A$6:$A$200,A17,'Round Log'!$H$6:$H$200))</f>
        <v>19.430552979042563</v>
      </c>
      <c r="E17" s="21">
        <f>IF(C17=0,"",_xlfn.MINIFS('Round Log'!$H$6:$H$200,'Round Log'!$A$6:$A$200,A17))</f>
        <v>17.744531249999994</v>
      </c>
      <c r="F17" s="21">
        <f t="shared" si="0"/>
        <v>5.2305529790425638</v>
      </c>
      <c r="G17" s="21">
        <f t="shared" si="1"/>
        <v>15.769165893712767</v>
      </c>
      <c r="H17" s="21">
        <f t="shared" si="2"/>
        <v>9</v>
      </c>
      <c r="I17" s="5"/>
      <c r="J17" s="5"/>
      <c r="K17" s="5"/>
      <c r="L17" s="5"/>
      <c r="M17" s="5"/>
      <c r="N17" s="5"/>
      <c r="O17" s="5"/>
      <c r="P17" s="5"/>
      <c r="Q17" s="5"/>
      <c r="R17" s="5"/>
      <c r="S17" s="5"/>
      <c r="T17" s="5"/>
      <c r="U17" s="5"/>
      <c r="V17" s="5"/>
      <c r="W17" s="5"/>
      <c r="X17" s="5"/>
      <c r="Y17" s="5"/>
      <c r="Z17" s="6"/>
    </row>
    <row r="18" spans="1:26">
      <c r="A18" s="19" t="s">
        <v>29</v>
      </c>
      <c r="B18" s="20">
        <v>15.3</v>
      </c>
      <c r="C18" s="26">
        <f>COUNTIF('Round Log'!$A$6:$A$200,A18)</f>
        <v>5</v>
      </c>
      <c r="D18" s="21">
        <f>IF(C18=0,"",AVERAGEIF('Round Log'!$A$6:$A$200,A18,'Round Log'!$H$6:$H$200))</f>
        <v>14.898938176251608</v>
      </c>
      <c r="E18" s="21">
        <f>IF(C18=0,"",_xlfn.MINIFS('Round Log'!$H$6:$H$200,'Round Log'!$A$6:$A$200,A18))</f>
        <v>12.643356643356643</v>
      </c>
      <c r="F18" s="21">
        <f t="shared" si="0"/>
        <v>-0.4010618237483925</v>
      </c>
      <c r="G18" s="21">
        <f t="shared" si="1"/>
        <v>15.179681452875482</v>
      </c>
      <c r="H18" s="21">
        <f t="shared" si="2"/>
        <v>8</v>
      </c>
      <c r="I18" s="5"/>
      <c r="J18" s="5"/>
      <c r="K18" s="5"/>
      <c r="L18" s="5"/>
      <c r="M18" s="5"/>
      <c r="N18" s="5"/>
      <c r="O18" s="5"/>
      <c r="P18" s="5"/>
      <c r="Q18" s="5"/>
      <c r="R18" s="5"/>
      <c r="S18" s="5"/>
      <c r="T18" s="5"/>
      <c r="U18" s="5"/>
      <c r="V18" s="5"/>
      <c r="W18" s="5"/>
      <c r="X18" s="5"/>
      <c r="Y18" s="5"/>
      <c r="Z18" s="6"/>
    </row>
    <row r="19" spans="1:26">
      <c r="A19" s="19" t="s">
        <v>51</v>
      </c>
      <c r="B19" s="20">
        <v>23.3</v>
      </c>
      <c r="C19" s="26">
        <f>COUNTIF('Round Log'!$A$6:$A$200,A19)</f>
        <v>2</v>
      </c>
      <c r="D19" s="21">
        <f>IF(C19=0,"",AVERAGEIF('Round Log'!$A$6:$A$200,A19,'Round Log'!$H$6:$H$200))</f>
        <v>25.593656716417904</v>
      </c>
      <c r="E19" s="21">
        <f>IF(C19=0,"",_xlfn.MINIFS('Round Log'!$H$6:$H$200,'Round Log'!$A$6:$A$200,A19))</f>
        <v>23.696268656716413</v>
      </c>
      <c r="F19" s="21">
        <f t="shared" si="0"/>
        <v>2.2936567164179031</v>
      </c>
      <c r="G19" s="21">
        <f t="shared" si="1"/>
        <v>23.988097014925369</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21" t="str">
        <f>IF(C20=0,"",_xlfn.MINIFS('Round Log'!$H$6:$H$200,'Round Log'!$A$6:$A$200,A20))</f>
        <v/>
      </c>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2026-09-06T15:47:13Z</dcterms:modified>
  <cp:category/>
  <cp:contentStatus/>
</cp:coreProperties>
</file>